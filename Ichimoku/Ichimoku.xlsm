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lwillia\Documents\GitHub\technical_analysis\Ichimoku\"/>
    </mc:Choice>
  </mc:AlternateContent>
  <bookViews>
    <workbookView xWindow="1890" yWindow="0" windowWidth="23070" windowHeight="9720"/>
  </bookViews>
  <sheets>
    <sheet name="Ichimoku" sheetId="1" r:id="rId1"/>
  </sheets>
  <definedNames>
    <definedName name="BackTerm">Ichimoku!$A$5</definedName>
    <definedName name="DataLoad">Ichimoku!$C$1</definedName>
    <definedName name="LongTerm">Ichimoku!$A$8</definedName>
    <definedName name="MediumTerm">Ichimoku!$A$11</definedName>
    <definedName name="ShortTerm">Ichimoku!$A$14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8" i="1" l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" i="1"/>
  <c r="N98" i="1"/>
  <c r="N154" i="1"/>
  <c r="N186" i="1"/>
  <c r="N205" i="1"/>
  <c r="N221" i="1"/>
  <c r="N237" i="1"/>
  <c r="N250" i="1"/>
  <c r="N53" i="1"/>
  <c r="M18" i="1"/>
  <c r="M26" i="1"/>
  <c r="M34" i="1"/>
  <c r="M42" i="1"/>
  <c r="M50" i="1"/>
  <c r="M58" i="1"/>
  <c r="O84" i="1" s="1"/>
  <c r="M66" i="1"/>
  <c r="M74" i="1"/>
  <c r="O100" i="1" s="1"/>
  <c r="M82" i="1"/>
  <c r="M90" i="1"/>
  <c r="O116" i="1" s="1"/>
  <c r="M98" i="1"/>
  <c r="O124" i="1" s="1"/>
  <c r="M106" i="1"/>
  <c r="O132" i="1" s="1"/>
  <c r="M114" i="1"/>
  <c r="M122" i="1"/>
  <c r="O148" i="1" s="1"/>
  <c r="M130" i="1"/>
  <c r="M138" i="1"/>
  <c r="O164" i="1" s="1"/>
  <c r="M146" i="1"/>
  <c r="M154" i="1"/>
  <c r="O180" i="1" s="1"/>
  <c r="M162" i="1"/>
  <c r="M170" i="1"/>
  <c r="M178" i="1"/>
  <c r="M186" i="1"/>
  <c r="O212" i="1" s="1"/>
  <c r="M194" i="1"/>
  <c r="M202" i="1"/>
  <c r="M210" i="1"/>
  <c r="M218" i="1"/>
  <c r="M226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53" i="1"/>
  <c r="K54" i="1"/>
  <c r="P80" i="1" s="1"/>
  <c r="K55" i="1"/>
  <c r="K56" i="1"/>
  <c r="P82" i="1" s="1"/>
  <c r="K57" i="1"/>
  <c r="P83" i="1" s="1"/>
  <c r="K58" i="1"/>
  <c r="P84" i="1" s="1"/>
  <c r="K59" i="1"/>
  <c r="K60" i="1"/>
  <c r="P86" i="1" s="1"/>
  <c r="K61" i="1"/>
  <c r="P87" i="1" s="1"/>
  <c r="K62" i="1"/>
  <c r="P88" i="1" s="1"/>
  <c r="K63" i="1"/>
  <c r="K64" i="1"/>
  <c r="P90" i="1" s="1"/>
  <c r="K65" i="1"/>
  <c r="P91" i="1" s="1"/>
  <c r="K66" i="1"/>
  <c r="P92" i="1" s="1"/>
  <c r="K67" i="1"/>
  <c r="K68" i="1"/>
  <c r="P94" i="1" s="1"/>
  <c r="K69" i="1"/>
  <c r="P95" i="1" s="1"/>
  <c r="K70" i="1"/>
  <c r="P96" i="1" s="1"/>
  <c r="K71" i="1"/>
  <c r="K72" i="1"/>
  <c r="P98" i="1" s="1"/>
  <c r="K73" i="1"/>
  <c r="P99" i="1" s="1"/>
  <c r="K74" i="1"/>
  <c r="P100" i="1" s="1"/>
  <c r="K75" i="1"/>
  <c r="K76" i="1"/>
  <c r="P102" i="1" s="1"/>
  <c r="K77" i="1"/>
  <c r="P103" i="1" s="1"/>
  <c r="K78" i="1"/>
  <c r="P104" i="1" s="1"/>
  <c r="K79" i="1"/>
  <c r="K80" i="1"/>
  <c r="P106" i="1" s="1"/>
  <c r="K81" i="1"/>
  <c r="P107" i="1" s="1"/>
  <c r="K82" i="1"/>
  <c r="P108" i="1" s="1"/>
  <c r="K83" i="1"/>
  <c r="K84" i="1"/>
  <c r="P110" i="1" s="1"/>
  <c r="K85" i="1"/>
  <c r="P111" i="1" s="1"/>
  <c r="K86" i="1"/>
  <c r="P112" i="1" s="1"/>
  <c r="K87" i="1"/>
  <c r="K88" i="1"/>
  <c r="P114" i="1" s="1"/>
  <c r="K89" i="1"/>
  <c r="P115" i="1" s="1"/>
  <c r="K90" i="1"/>
  <c r="P116" i="1" s="1"/>
  <c r="K91" i="1"/>
  <c r="K92" i="1"/>
  <c r="P118" i="1" s="1"/>
  <c r="K93" i="1"/>
  <c r="P119" i="1" s="1"/>
  <c r="K94" i="1"/>
  <c r="P120" i="1" s="1"/>
  <c r="K95" i="1"/>
  <c r="K96" i="1"/>
  <c r="P122" i="1" s="1"/>
  <c r="K97" i="1"/>
  <c r="P123" i="1" s="1"/>
  <c r="K98" i="1"/>
  <c r="P124" i="1" s="1"/>
  <c r="K99" i="1"/>
  <c r="K100" i="1"/>
  <c r="P126" i="1" s="1"/>
  <c r="K101" i="1"/>
  <c r="P127" i="1" s="1"/>
  <c r="K102" i="1"/>
  <c r="P128" i="1" s="1"/>
  <c r="K103" i="1"/>
  <c r="K104" i="1"/>
  <c r="P130" i="1" s="1"/>
  <c r="K105" i="1"/>
  <c r="P131" i="1" s="1"/>
  <c r="K106" i="1"/>
  <c r="P132" i="1" s="1"/>
  <c r="K107" i="1"/>
  <c r="K108" i="1"/>
  <c r="P134" i="1" s="1"/>
  <c r="K109" i="1"/>
  <c r="P135" i="1" s="1"/>
  <c r="K110" i="1"/>
  <c r="P136" i="1" s="1"/>
  <c r="K111" i="1"/>
  <c r="K112" i="1"/>
  <c r="P138" i="1" s="1"/>
  <c r="K113" i="1"/>
  <c r="P139" i="1" s="1"/>
  <c r="K114" i="1"/>
  <c r="P140" i="1" s="1"/>
  <c r="K115" i="1"/>
  <c r="K116" i="1"/>
  <c r="P142" i="1" s="1"/>
  <c r="K117" i="1"/>
  <c r="P143" i="1" s="1"/>
  <c r="K118" i="1"/>
  <c r="P144" i="1" s="1"/>
  <c r="K119" i="1"/>
  <c r="K120" i="1"/>
  <c r="P146" i="1" s="1"/>
  <c r="K121" i="1"/>
  <c r="P147" i="1" s="1"/>
  <c r="K122" i="1"/>
  <c r="P148" i="1" s="1"/>
  <c r="K123" i="1"/>
  <c r="K124" i="1"/>
  <c r="P150" i="1" s="1"/>
  <c r="K125" i="1"/>
  <c r="P151" i="1" s="1"/>
  <c r="K126" i="1"/>
  <c r="P152" i="1" s="1"/>
  <c r="K127" i="1"/>
  <c r="K128" i="1"/>
  <c r="P154" i="1" s="1"/>
  <c r="K129" i="1"/>
  <c r="P155" i="1" s="1"/>
  <c r="K130" i="1"/>
  <c r="P156" i="1" s="1"/>
  <c r="K131" i="1"/>
  <c r="K132" i="1"/>
  <c r="P158" i="1" s="1"/>
  <c r="K133" i="1"/>
  <c r="P159" i="1" s="1"/>
  <c r="K134" i="1"/>
  <c r="P160" i="1" s="1"/>
  <c r="K135" i="1"/>
  <c r="K136" i="1"/>
  <c r="P162" i="1" s="1"/>
  <c r="K137" i="1"/>
  <c r="P163" i="1" s="1"/>
  <c r="K138" i="1"/>
  <c r="P164" i="1" s="1"/>
  <c r="K139" i="1"/>
  <c r="K140" i="1"/>
  <c r="P166" i="1" s="1"/>
  <c r="K141" i="1"/>
  <c r="P167" i="1" s="1"/>
  <c r="K142" i="1"/>
  <c r="P168" i="1" s="1"/>
  <c r="K143" i="1"/>
  <c r="K144" i="1"/>
  <c r="P170" i="1" s="1"/>
  <c r="K145" i="1"/>
  <c r="P171" i="1" s="1"/>
  <c r="K146" i="1"/>
  <c r="P172" i="1" s="1"/>
  <c r="K147" i="1"/>
  <c r="K148" i="1"/>
  <c r="P174" i="1" s="1"/>
  <c r="K149" i="1"/>
  <c r="P175" i="1" s="1"/>
  <c r="K150" i="1"/>
  <c r="P176" i="1" s="1"/>
  <c r="K151" i="1"/>
  <c r="K152" i="1"/>
  <c r="P178" i="1" s="1"/>
  <c r="K153" i="1"/>
  <c r="P179" i="1" s="1"/>
  <c r="K154" i="1"/>
  <c r="P180" i="1" s="1"/>
  <c r="K155" i="1"/>
  <c r="K156" i="1"/>
  <c r="P182" i="1" s="1"/>
  <c r="K157" i="1"/>
  <c r="P183" i="1" s="1"/>
  <c r="K158" i="1"/>
  <c r="P184" i="1" s="1"/>
  <c r="K159" i="1"/>
  <c r="K160" i="1"/>
  <c r="P186" i="1" s="1"/>
  <c r="K161" i="1"/>
  <c r="P187" i="1" s="1"/>
  <c r="K162" i="1"/>
  <c r="P188" i="1" s="1"/>
  <c r="K163" i="1"/>
  <c r="K164" i="1"/>
  <c r="P190" i="1" s="1"/>
  <c r="K165" i="1"/>
  <c r="P191" i="1" s="1"/>
  <c r="K166" i="1"/>
  <c r="P192" i="1" s="1"/>
  <c r="K167" i="1"/>
  <c r="K168" i="1"/>
  <c r="P194" i="1" s="1"/>
  <c r="K169" i="1"/>
  <c r="P195" i="1" s="1"/>
  <c r="K170" i="1"/>
  <c r="P196" i="1" s="1"/>
  <c r="K171" i="1"/>
  <c r="K172" i="1"/>
  <c r="P198" i="1" s="1"/>
  <c r="K173" i="1"/>
  <c r="P199" i="1" s="1"/>
  <c r="K174" i="1"/>
  <c r="P200" i="1" s="1"/>
  <c r="K175" i="1"/>
  <c r="K176" i="1"/>
  <c r="P202" i="1" s="1"/>
  <c r="K177" i="1"/>
  <c r="P203" i="1" s="1"/>
  <c r="K178" i="1"/>
  <c r="P204" i="1" s="1"/>
  <c r="K179" i="1"/>
  <c r="K180" i="1"/>
  <c r="P206" i="1" s="1"/>
  <c r="K181" i="1"/>
  <c r="P207" i="1" s="1"/>
  <c r="K182" i="1"/>
  <c r="P208" i="1" s="1"/>
  <c r="K183" i="1"/>
  <c r="K184" i="1"/>
  <c r="P210" i="1" s="1"/>
  <c r="K185" i="1"/>
  <c r="P211" i="1" s="1"/>
  <c r="K186" i="1"/>
  <c r="P212" i="1" s="1"/>
  <c r="K187" i="1"/>
  <c r="K188" i="1"/>
  <c r="P214" i="1" s="1"/>
  <c r="K189" i="1"/>
  <c r="P215" i="1" s="1"/>
  <c r="K190" i="1"/>
  <c r="P216" i="1" s="1"/>
  <c r="K191" i="1"/>
  <c r="K192" i="1"/>
  <c r="P218" i="1" s="1"/>
  <c r="K193" i="1"/>
  <c r="P219" i="1" s="1"/>
  <c r="K194" i="1"/>
  <c r="P220" i="1" s="1"/>
  <c r="K195" i="1"/>
  <c r="K196" i="1"/>
  <c r="P222" i="1" s="1"/>
  <c r="K197" i="1"/>
  <c r="P223" i="1" s="1"/>
  <c r="K198" i="1"/>
  <c r="P224" i="1" s="1"/>
  <c r="K199" i="1"/>
  <c r="K200" i="1"/>
  <c r="P226" i="1" s="1"/>
  <c r="K201" i="1"/>
  <c r="P227" i="1" s="1"/>
  <c r="K202" i="1"/>
  <c r="P228" i="1" s="1"/>
  <c r="K203" i="1"/>
  <c r="K204" i="1"/>
  <c r="P230" i="1" s="1"/>
  <c r="K205" i="1"/>
  <c r="P231" i="1" s="1"/>
  <c r="K206" i="1"/>
  <c r="P232" i="1" s="1"/>
  <c r="K207" i="1"/>
  <c r="K208" i="1"/>
  <c r="P234" i="1" s="1"/>
  <c r="K209" i="1"/>
  <c r="P235" i="1" s="1"/>
  <c r="K210" i="1"/>
  <c r="P236" i="1" s="1"/>
  <c r="K211" i="1"/>
  <c r="K212" i="1"/>
  <c r="P238" i="1" s="1"/>
  <c r="K213" i="1"/>
  <c r="P239" i="1" s="1"/>
  <c r="K214" i="1"/>
  <c r="P240" i="1" s="1"/>
  <c r="K215" i="1"/>
  <c r="K216" i="1"/>
  <c r="P242" i="1" s="1"/>
  <c r="K217" i="1"/>
  <c r="P243" i="1" s="1"/>
  <c r="K218" i="1"/>
  <c r="P244" i="1" s="1"/>
  <c r="K219" i="1"/>
  <c r="K220" i="1"/>
  <c r="P246" i="1" s="1"/>
  <c r="K221" i="1"/>
  <c r="P247" i="1" s="1"/>
  <c r="K222" i="1"/>
  <c r="P248" i="1" s="1"/>
  <c r="K223" i="1"/>
  <c r="K224" i="1"/>
  <c r="P250" i="1" s="1"/>
  <c r="K225" i="1"/>
  <c r="P251" i="1" s="1"/>
  <c r="K226" i="1"/>
  <c r="P252" i="1" s="1"/>
  <c r="K227" i="1"/>
  <c r="K228" i="1"/>
  <c r="P254" i="1" s="1"/>
  <c r="K229" i="1"/>
  <c r="P255" i="1" s="1"/>
  <c r="K230" i="1"/>
  <c r="P256" i="1" s="1"/>
  <c r="K231" i="1"/>
  <c r="K232" i="1"/>
  <c r="P258" i="1" s="1"/>
  <c r="K233" i="1"/>
  <c r="P259" i="1" s="1"/>
  <c r="K234" i="1"/>
  <c r="P260" i="1" s="1"/>
  <c r="K235" i="1"/>
  <c r="K236" i="1"/>
  <c r="P262" i="1" s="1"/>
  <c r="K237" i="1"/>
  <c r="P263" i="1" s="1"/>
  <c r="K238" i="1"/>
  <c r="P264" i="1" s="1"/>
  <c r="K239" i="1"/>
  <c r="K240" i="1"/>
  <c r="P266" i="1" s="1"/>
  <c r="K241" i="1"/>
  <c r="P267" i="1" s="1"/>
  <c r="K242" i="1"/>
  <c r="P268" i="1" s="1"/>
  <c r="K243" i="1"/>
  <c r="K244" i="1"/>
  <c r="P270" i="1" s="1"/>
  <c r="K245" i="1"/>
  <c r="P271" i="1" s="1"/>
  <c r="K246" i="1"/>
  <c r="P272" i="1" s="1"/>
  <c r="K247" i="1"/>
  <c r="K248" i="1"/>
  <c r="P274" i="1" s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53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10" i="1"/>
  <c r="G11" i="1"/>
  <c r="M11" i="1" s="1"/>
  <c r="G12" i="1"/>
  <c r="M12" i="1" s="1"/>
  <c r="G13" i="1"/>
  <c r="M13" i="1" s="1"/>
  <c r="G14" i="1"/>
  <c r="M14" i="1" s="1"/>
  <c r="G15" i="1"/>
  <c r="M15" i="1" s="1"/>
  <c r="G16" i="1"/>
  <c r="M16" i="1" s="1"/>
  <c r="G17" i="1"/>
  <c r="M17" i="1" s="1"/>
  <c r="G18" i="1"/>
  <c r="G19" i="1"/>
  <c r="M19" i="1" s="1"/>
  <c r="G20" i="1"/>
  <c r="M20" i="1" s="1"/>
  <c r="G21" i="1"/>
  <c r="M21" i="1" s="1"/>
  <c r="G22" i="1"/>
  <c r="M22" i="1" s="1"/>
  <c r="G23" i="1"/>
  <c r="M23" i="1" s="1"/>
  <c r="G24" i="1"/>
  <c r="M24" i="1" s="1"/>
  <c r="G25" i="1"/>
  <c r="M25" i="1" s="1"/>
  <c r="G26" i="1"/>
  <c r="G27" i="1"/>
  <c r="M27" i="1" s="1"/>
  <c r="G28" i="1"/>
  <c r="M28" i="1" s="1"/>
  <c r="G29" i="1"/>
  <c r="M29" i="1" s="1"/>
  <c r="G30" i="1"/>
  <c r="M30" i="1" s="1"/>
  <c r="G31" i="1"/>
  <c r="M31" i="1" s="1"/>
  <c r="G32" i="1"/>
  <c r="M32" i="1" s="1"/>
  <c r="G33" i="1"/>
  <c r="M33" i="1" s="1"/>
  <c r="G34" i="1"/>
  <c r="G35" i="1"/>
  <c r="M35" i="1" s="1"/>
  <c r="G36" i="1"/>
  <c r="M36" i="1" s="1"/>
  <c r="G37" i="1"/>
  <c r="M37" i="1" s="1"/>
  <c r="G38" i="1"/>
  <c r="M38" i="1" s="1"/>
  <c r="G39" i="1"/>
  <c r="M39" i="1" s="1"/>
  <c r="G40" i="1"/>
  <c r="M40" i="1" s="1"/>
  <c r="G41" i="1"/>
  <c r="M41" i="1" s="1"/>
  <c r="G42" i="1"/>
  <c r="G43" i="1"/>
  <c r="M43" i="1" s="1"/>
  <c r="G44" i="1"/>
  <c r="M44" i="1" s="1"/>
  <c r="G45" i="1"/>
  <c r="M45" i="1" s="1"/>
  <c r="G46" i="1"/>
  <c r="M46" i="1" s="1"/>
  <c r="G47" i="1"/>
  <c r="M47" i="1" s="1"/>
  <c r="G48" i="1"/>
  <c r="M48" i="1" s="1"/>
  <c r="G49" i="1"/>
  <c r="M49" i="1" s="1"/>
  <c r="G50" i="1"/>
  <c r="G51" i="1"/>
  <c r="M51" i="1" s="1"/>
  <c r="G52" i="1"/>
  <c r="M52" i="1" s="1"/>
  <c r="G53" i="1"/>
  <c r="M53" i="1" s="1"/>
  <c r="O79" i="1" s="1"/>
  <c r="G54" i="1"/>
  <c r="N54" i="1" s="1"/>
  <c r="G55" i="1"/>
  <c r="G56" i="1"/>
  <c r="G57" i="1"/>
  <c r="N57" i="1" s="1"/>
  <c r="G58" i="1"/>
  <c r="N58" i="1" s="1"/>
  <c r="G59" i="1"/>
  <c r="G60" i="1"/>
  <c r="G61" i="1"/>
  <c r="N61" i="1" s="1"/>
  <c r="G62" i="1"/>
  <c r="N62" i="1" s="1"/>
  <c r="G63" i="1"/>
  <c r="G64" i="1"/>
  <c r="G65" i="1"/>
  <c r="N65" i="1" s="1"/>
  <c r="G66" i="1"/>
  <c r="N66" i="1" s="1"/>
  <c r="G67" i="1"/>
  <c r="G68" i="1"/>
  <c r="G69" i="1"/>
  <c r="N69" i="1" s="1"/>
  <c r="G70" i="1"/>
  <c r="N70" i="1" s="1"/>
  <c r="G71" i="1"/>
  <c r="G72" i="1"/>
  <c r="G73" i="1"/>
  <c r="N73" i="1" s="1"/>
  <c r="G74" i="1"/>
  <c r="N74" i="1" s="1"/>
  <c r="G75" i="1"/>
  <c r="G76" i="1"/>
  <c r="G77" i="1"/>
  <c r="N77" i="1" s="1"/>
  <c r="G78" i="1"/>
  <c r="N78" i="1" s="1"/>
  <c r="G79" i="1"/>
  <c r="G80" i="1"/>
  <c r="G81" i="1"/>
  <c r="N81" i="1" s="1"/>
  <c r="G82" i="1"/>
  <c r="N82" i="1" s="1"/>
  <c r="G83" i="1"/>
  <c r="G84" i="1"/>
  <c r="G85" i="1"/>
  <c r="N85" i="1" s="1"/>
  <c r="G86" i="1"/>
  <c r="N86" i="1" s="1"/>
  <c r="G87" i="1"/>
  <c r="G88" i="1"/>
  <c r="G89" i="1"/>
  <c r="N89" i="1" s="1"/>
  <c r="G90" i="1"/>
  <c r="N90" i="1" s="1"/>
  <c r="G91" i="1"/>
  <c r="G92" i="1"/>
  <c r="G93" i="1"/>
  <c r="N93" i="1" s="1"/>
  <c r="G94" i="1"/>
  <c r="N94" i="1" s="1"/>
  <c r="G95" i="1"/>
  <c r="G96" i="1"/>
  <c r="G97" i="1"/>
  <c r="N97" i="1" s="1"/>
  <c r="G98" i="1"/>
  <c r="G99" i="1"/>
  <c r="G100" i="1"/>
  <c r="G101" i="1"/>
  <c r="N101" i="1" s="1"/>
  <c r="G102" i="1"/>
  <c r="N102" i="1" s="1"/>
  <c r="G103" i="1"/>
  <c r="G104" i="1"/>
  <c r="G105" i="1"/>
  <c r="N105" i="1" s="1"/>
  <c r="G106" i="1"/>
  <c r="N106" i="1" s="1"/>
  <c r="G107" i="1"/>
  <c r="G108" i="1"/>
  <c r="G109" i="1"/>
  <c r="N109" i="1" s="1"/>
  <c r="G110" i="1"/>
  <c r="N110" i="1" s="1"/>
  <c r="G111" i="1"/>
  <c r="G112" i="1"/>
  <c r="G113" i="1"/>
  <c r="N113" i="1" s="1"/>
  <c r="G114" i="1"/>
  <c r="N114" i="1" s="1"/>
  <c r="G115" i="1"/>
  <c r="G116" i="1"/>
  <c r="G117" i="1"/>
  <c r="N117" i="1" s="1"/>
  <c r="G118" i="1"/>
  <c r="N118" i="1" s="1"/>
  <c r="G119" i="1"/>
  <c r="G120" i="1"/>
  <c r="G121" i="1"/>
  <c r="N121" i="1" s="1"/>
  <c r="G122" i="1"/>
  <c r="N122" i="1" s="1"/>
  <c r="G123" i="1"/>
  <c r="G124" i="1"/>
  <c r="G125" i="1"/>
  <c r="N125" i="1" s="1"/>
  <c r="G126" i="1"/>
  <c r="N126" i="1" s="1"/>
  <c r="G127" i="1"/>
  <c r="G128" i="1"/>
  <c r="G129" i="1"/>
  <c r="N129" i="1" s="1"/>
  <c r="G130" i="1"/>
  <c r="N130" i="1" s="1"/>
  <c r="G131" i="1"/>
  <c r="G132" i="1"/>
  <c r="G133" i="1"/>
  <c r="N133" i="1" s="1"/>
  <c r="G134" i="1"/>
  <c r="N134" i="1" s="1"/>
  <c r="G135" i="1"/>
  <c r="G136" i="1"/>
  <c r="G137" i="1"/>
  <c r="N137" i="1" s="1"/>
  <c r="G138" i="1"/>
  <c r="N138" i="1" s="1"/>
  <c r="G139" i="1"/>
  <c r="G140" i="1"/>
  <c r="G141" i="1"/>
  <c r="N141" i="1" s="1"/>
  <c r="G142" i="1"/>
  <c r="N142" i="1" s="1"/>
  <c r="G143" i="1"/>
  <c r="G144" i="1"/>
  <c r="G145" i="1"/>
  <c r="N145" i="1" s="1"/>
  <c r="G146" i="1"/>
  <c r="N146" i="1" s="1"/>
  <c r="G147" i="1"/>
  <c r="G148" i="1"/>
  <c r="G149" i="1"/>
  <c r="N149" i="1" s="1"/>
  <c r="G150" i="1"/>
  <c r="N150" i="1" s="1"/>
  <c r="G151" i="1"/>
  <c r="G152" i="1"/>
  <c r="G153" i="1"/>
  <c r="N153" i="1" s="1"/>
  <c r="G154" i="1"/>
  <c r="G155" i="1"/>
  <c r="G156" i="1"/>
  <c r="G157" i="1"/>
  <c r="N157" i="1" s="1"/>
  <c r="G158" i="1"/>
  <c r="N158" i="1" s="1"/>
  <c r="G159" i="1"/>
  <c r="G160" i="1"/>
  <c r="G161" i="1"/>
  <c r="N161" i="1" s="1"/>
  <c r="G162" i="1"/>
  <c r="N162" i="1" s="1"/>
  <c r="G163" i="1"/>
  <c r="G164" i="1"/>
  <c r="G165" i="1"/>
  <c r="N165" i="1" s="1"/>
  <c r="G166" i="1"/>
  <c r="N166" i="1" s="1"/>
  <c r="G167" i="1"/>
  <c r="G168" i="1"/>
  <c r="G169" i="1"/>
  <c r="N169" i="1" s="1"/>
  <c r="G170" i="1"/>
  <c r="N170" i="1" s="1"/>
  <c r="G171" i="1"/>
  <c r="G172" i="1"/>
  <c r="G173" i="1"/>
  <c r="N173" i="1" s="1"/>
  <c r="G174" i="1"/>
  <c r="N174" i="1" s="1"/>
  <c r="G175" i="1"/>
  <c r="G176" i="1"/>
  <c r="G177" i="1"/>
  <c r="N177" i="1" s="1"/>
  <c r="G178" i="1"/>
  <c r="N178" i="1" s="1"/>
  <c r="G179" i="1"/>
  <c r="G180" i="1"/>
  <c r="G181" i="1"/>
  <c r="N181" i="1" s="1"/>
  <c r="G182" i="1"/>
  <c r="N182" i="1" s="1"/>
  <c r="G183" i="1"/>
  <c r="G184" i="1"/>
  <c r="G185" i="1"/>
  <c r="N185" i="1" s="1"/>
  <c r="G186" i="1"/>
  <c r="G187" i="1"/>
  <c r="G188" i="1"/>
  <c r="G189" i="1"/>
  <c r="N189" i="1" s="1"/>
  <c r="G190" i="1"/>
  <c r="N190" i="1" s="1"/>
  <c r="G191" i="1"/>
  <c r="G192" i="1"/>
  <c r="G193" i="1"/>
  <c r="N193" i="1" s="1"/>
  <c r="G194" i="1"/>
  <c r="N194" i="1" s="1"/>
  <c r="G195" i="1"/>
  <c r="G196" i="1"/>
  <c r="G197" i="1"/>
  <c r="M197" i="1" s="1"/>
  <c r="G198" i="1"/>
  <c r="N198" i="1" s="1"/>
  <c r="G199" i="1"/>
  <c r="G200" i="1"/>
  <c r="G201" i="1"/>
  <c r="N201" i="1" s="1"/>
  <c r="G202" i="1"/>
  <c r="N202" i="1" s="1"/>
  <c r="G203" i="1"/>
  <c r="G204" i="1"/>
  <c r="G205" i="1"/>
  <c r="M205" i="1" s="1"/>
  <c r="O231" i="1" s="1"/>
  <c r="G206" i="1"/>
  <c r="N206" i="1" s="1"/>
  <c r="G207" i="1"/>
  <c r="G208" i="1"/>
  <c r="G209" i="1"/>
  <c r="N209" i="1" s="1"/>
  <c r="G210" i="1"/>
  <c r="N210" i="1" s="1"/>
  <c r="G211" i="1"/>
  <c r="G212" i="1"/>
  <c r="G213" i="1"/>
  <c r="M213" i="1" s="1"/>
  <c r="G214" i="1"/>
  <c r="N214" i="1" s="1"/>
  <c r="G215" i="1"/>
  <c r="G216" i="1"/>
  <c r="G217" i="1"/>
  <c r="N217" i="1" s="1"/>
  <c r="G218" i="1"/>
  <c r="N218" i="1" s="1"/>
  <c r="G219" i="1"/>
  <c r="G220" i="1"/>
  <c r="G221" i="1"/>
  <c r="M221" i="1" s="1"/>
  <c r="O247" i="1" s="1"/>
  <c r="G222" i="1"/>
  <c r="N222" i="1" s="1"/>
  <c r="G223" i="1"/>
  <c r="G224" i="1"/>
  <c r="G225" i="1"/>
  <c r="N225" i="1" s="1"/>
  <c r="G226" i="1"/>
  <c r="N226" i="1" s="1"/>
  <c r="G227" i="1"/>
  <c r="G228" i="1"/>
  <c r="G229" i="1"/>
  <c r="M229" i="1" s="1"/>
  <c r="G230" i="1"/>
  <c r="N230" i="1" s="1"/>
  <c r="G231" i="1"/>
  <c r="N231" i="1" s="1"/>
  <c r="G232" i="1"/>
  <c r="N232" i="1" s="1"/>
  <c r="G233" i="1"/>
  <c r="N233" i="1" s="1"/>
  <c r="G234" i="1"/>
  <c r="M234" i="1" s="1"/>
  <c r="G235" i="1"/>
  <c r="N235" i="1" s="1"/>
  <c r="G236" i="1"/>
  <c r="N236" i="1" s="1"/>
  <c r="G237" i="1"/>
  <c r="M237" i="1" s="1"/>
  <c r="O263" i="1" s="1"/>
  <c r="G238" i="1"/>
  <c r="N238" i="1" s="1"/>
  <c r="G239" i="1"/>
  <c r="N239" i="1" s="1"/>
  <c r="G240" i="1"/>
  <c r="N240" i="1" s="1"/>
  <c r="G241" i="1"/>
  <c r="N241" i="1" s="1"/>
  <c r="G242" i="1"/>
  <c r="N242" i="1" s="1"/>
  <c r="G243" i="1"/>
  <c r="N243" i="1" s="1"/>
  <c r="G244" i="1"/>
  <c r="N244" i="1" s="1"/>
  <c r="G245" i="1"/>
  <c r="M245" i="1" s="1"/>
  <c r="G246" i="1"/>
  <c r="N246" i="1" s="1"/>
  <c r="G247" i="1"/>
  <c r="N247" i="1" s="1"/>
  <c r="G248" i="1"/>
  <c r="N248" i="1" s="1"/>
  <c r="G249" i="1"/>
  <c r="M249" i="1" s="1"/>
  <c r="G250" i="1"/>
  <c r="M250" i="1" s="1"/>
  <c r="G251" i="1"/>
  <c r="N251" i="1" s="1"/>
  <c r="G252" i="1"/>
  <c r="N252" i="1" s="1"/>
  <c r="G253" i="1"/>
  <c r="N253" i="1" s="1"/>
  <c r="G254" i="1"/>
  <c r="N254" i="1" s="1"/>
  <c r="G255" i="1"/>
  <c r="N255" i="1" s="1"/>
  <c r="G256" i="1"/>
  <c r="N256" i="1" s="1"/>
  <c r="G257" i="1"/>
  <c r="M257" i="1" s="1"/>
  <c r="G10" i="1"/>
  <c r="M10" i="1" s="1"/>
  <c r="O271" i="1" l="1"/>
  <c r="N224" i="1"/>
  <c r="M224" i="1"/>
  <c r="O250" i="1" s="1"/>
  <c r="N212" i="1"/>
  <c r="M212" i="1"/>
  <c r="N200" i="1"/>
  <c r="M200" i="1"/>
  <c r="O226" i="1" s="1"/>
  <c r="N180" i="1"/>
  <c r="M180" i="1"/>
  <c r="N168" i="1"/>
  <c r="M168" i="1"/>
  <c r="O194" i="1" s="1"/>
  <c r="N156" i="1"/>
  <c r="M156" i="1"/>
  <c r="N144" i="1"/>
  <c r="M144" i="1"/>
  <c r="O170" i="1" s="1"/>
  <c r="N128" i="1"/>
  <c r="M128" i="1"/>
  <c r="N116" i="1"/>
  <c r="M116" i="1"/>
  <c r="O142" i="1" s="1"/>
  <c r="N104" i="1"/>
  <c r="M104" i="1"/>
  <c r="N92" i="1"/>
  <c r="M92" i="1"/>
  <c r="O118" i="1" s="1"/>
  <c r="N80" i="1"/>
  <c r="M80" i="1"/>
  <c r="N68" i="1"/>
  <c r="M68" i="1"/>
  <c r="O94" i="1" s="1"/>
  <c r="N56" i="1"/>
  <c r="M56" i="1"/>
  <c r="M256" i="1"/>
  <c r="M240" i="1"/>
  <c r="O266" i="1" s="1"/>
  <c r="O236" i="1"/>
  <c r="O204" i="1"/>
  <c r="N215" i="1"/>
  <c r="M215" i="1"/>
  <c r="O241" i="1" s="1"/>
  <c r="N203" i="1"/>
  <c r="M203" i="1"/>
  <c r="N183" i="1"/>
  <c r="M183" i="1"/>
  <c r="O209" i="1" s="1"/>
  <c r="N171" i="1"/>
  <c r="M171" i="1"/>
  <c r="N159" i="1"/>
  <c r="M159" i="1"/>
  <c r="O185" i="1" s="1"/>
  <c r="N147" i="1"/>
  <c r="M147" i="1"/>
  <c r="N143" i="1"/>
  <c r="M143" i="1"/>
  <c r="O169" i="1" s="1"/>
  <c r="N131" i="1"/>
  <c r="M131" i="1"/>
  <c r="N127" i="1"/>
  <c r="M127" i="1"/>
  <c r="O153" i="1" s="1"/>
  <c r="N123" i="1"/>
  <c r="M123" i="1"/>
  <c r="N119" i="1"/>
  <c r="M119" i="1"/>
  <c r="O145" i="1" s="1"/>
  <c r="N115" i="1"/>
  <c r="M115" i="1"/>
  <c r="N111" i="1"/>
  <c r="M111" i="1"/>
  <c r="O137" i="1" s="1"/>
  <c r="N107" i="1"/>
  <c r="M107" i="1"/>
  <c r="N103" i="1"/>
  <c r="M103" i="1"/>
  <c r="O129" i="1" s="1"/>
  <c r="N99" i="1"/>
  <c r="M99" i="1"/>
  <c r="N95" i="1"/>
  <c r="M95" i="1"/>
  <c r="O121" i="1" s="1"/>
  <c r="N91" i="1"/>
  <c r="M91" i="1"/>
  <c r="N87" i="1"/>
  <c r="M87" i="1"/>
  <c r="O113" i="1" s="1"/>
  <c r="N83" i="1"/>
  <c r="M83" i="1"/>
  <c r="N79" i="1"/>
  <c r="M79" i="1"/>
  <c r="O105" i="1" s="1"/>
  <c r="N75" i="1"/>
  <c r="M75" i="1"/>
  <c r="N71" i="1"/>
  <c r="M71" i="1"/>
  <c r="O97" i="1" s="1"/>
  <c r="N67" i="1"/>
  <c r="M67" i="1"/>
  <c r="N63" i="1"/>
  <c r="M63" i="1"/>
  <c r="O89" i="1" s="1"/>
  <c r="N59" i="1"/>
  <c r="M59" i="1"/>
  <c r="N55" i="1"/>
  <c r="M55" i="1"/>
  <c r="O81" i="1" s="1"/>
  <c r="M255" i="1"/>
  <c r="M251" i="1"/>
  <c r="M247" i="1"/>
  <c r="O273" i="1" s="1"/>
  <c r="M243" i="1"/>
  <c r="O269" i="1" s="1"/>
  <c r="M239" i="1"/>
  <c r="O265" i="1" s="1"/>
  <c r="M235" i="1"/>
  <c r="O261" i="1" s="1"/>
  <c r="M231" i="1"/>
  <c r="O257" i="1" s="1"/>
  <c r="M225" i="1"/>
  <c r="O251" i="1" s="1"/>
  <c r="M217" i="1"/>
  <c r="O243" i="1" s="1"/>
  <c r="M209" i="1"/>
  <c r="O235" i="1" s="1"/>
  <c r="M201" i="1"/>
  <c r="O227" i="1" s="1"/>
  <c r="M193" i="1"/>
  <c r="O219" i="1" s="1"/>
  <c r="M185" i="1"/>
  <c r="O211" i="1" s="1"/>
  <c r="M177" i="1"/>
  <c r="O203" i="1" s="1"/>
  <c r="M169" i="1"/>
  <c r="O195" i="1" s="1"/>
  <c r="M161" i="1"/>
  <c r="O187" i="1" s="1"/>
  <c r="M153" i="1"/>
  <c r="O179" i="1" s="1"/>
  <c r="M145" i="1"/>
  <c r="O171" i="1" s="1"/>
  <c r="M137" i="1"/>
  <c r="O163" i="1" s="1"/>
  <c r="M129" i="1"/>
  <c r="O155" i="1" s="1"/>
  <c r="M121" i="1"/>
  <c r="O147" i="1" s="1"/>
  <c r="M113" i="1"/>
  <c r="O139" i="1" s="1"/>
  <c r="M105" i="1"/>
  <c r="O131" i="1" s="1"/>
  <c r="M97" i="1"/>
  <c r="O123" i="1" s="1"/>
  <c r="M89" i="1"/>
  <c r="O115" i="1" s="1"/>
  <c r="M81" i="1"/>
  <c r="O107" i="1" s="1"/>
  <c r="M73" i="1"/>
  <c r="O99" i="1" s="1"/>
  <c r="M65" i="1"/>
  <c r="O91" i="1" s="1"/>
  <c r="M57" i="1"/>
  <c r="O83" i="1" s="1"/>
  <c r="N257" i="1"/>
  <c r="N249" i="1"/>
  <c r="N234" i="1"/>
  <c r="O260" i="1" s="1"/>
  <c r="N220" i="1"/>
  <c r="M220" i="1"/>
  <c r="N208" i="1"/>
  <c r="M208" i="1"/>
  <c r="O234" i="1" s="1"/>
  <c r="N196" i="1"/>
  <c r="M196" i="1"/>
  <c r="N188" i="1"/>
  <c r="M188" i="1"/>
  <c r="O214" i="1" s="1"/>
  <c r="N176" i="1"/>
  <c r="M176" i="1"/>
  <c r="N164" i="1"/>
  <c r="M164" i="1"/>
  <c r="O190" i="1" s="1"/>
  <c r="N152" i="1"/>
  <c r="M152" i="1"/>
  <c r="N140" i="1"/>
  <c r="M140" i="1"/>
  <c r="O166" i="1" s="1"/>
  <c r="N132" i="1"/>
  <c r="M132" i="1"/>
  <c r="N120" i="1"/>
  <c r="M120" i="1"/>
  <c r="O146" i="1" s="1"/>
  <c r="N108" i="1"/>
  <c r="M108" i="1"/>
  <c r="N96" i="1"/>
  <c r="M96" i="1"/>
  <c r="O122" i="1" s="1"/>
  <c r="N84" i="1"/>
  <c r="M84" i="1"/>
  <c r="O110" i="1" s="1"/>
  <c r="N72" i="1"/>
  <c r="M72" i="1"/>
  <c r="O98" i="1" s="1"/>
  <c r="N60" i="1"/>
  <c r="M60" i="1"/>
  <c r="O86" i="1" s="1"/>
  <c r="M248" i="1"/>
  <c r="O274" i="1" s="1"/>
  <c r="O252" i="1"/>
  <c r="O228" i="1"/>
  <c r="O188" i="1"/>
  <c r="O172" i="1"/>
  <c r="O108" i="1"/>
  <c r="O92" i="1"/>
  <c r="N223" i="1"/>
  <c r="M223" i="1"/>
  <c r="N211" i="1"/>
  <c r="M211" i="1"/>
  <c r="O237" i="1" s="1"/>
  <c r="N199" i="1"/>
  <c r="M199" i="1"/>
  <c r="N191" i="1"/>
  <c r="M191" i="1"/>
  <c r="O217" i="1" s="1"/>
  <c r="N179" i="1"/>
  <c r="M179" i="1"/>
  <c r="N167" i="1"/>
  <c r="M167" i="1"/>
  <c r="O193" i="1" s="1"/>
  <c r="N151" i="1"/>
  <c r="M151" i="1"/>
  <c r="N135" i="1"/>
  <c r="M135" i="1"/>
  <c r="O161" i="1" s="1"/>
  <c r="P79" i="1"/>
  <c r="P273" i="1"/>
  <c r="P269" i="1"/>
  <c r="P265" i="1"/>
  <c r="P261" i="1"/>
  <c r="P257" i="1"/>
  <c r="P253" i="1"/>
  <c r="P249" i="1"/>
  <c r="P245" i="1"/>
  <c r="P241" i="1"/>
  <c r="P237" i="1"/>
  <c r="P233" i="1"/>
  <c r="P229" i="1"/>
  <c r="P225" i="1"/>
  <c r="P221" i="1"/>
  <c r="P217" i="1"/>
  <c r="P213" i="1"/>
  <c r="P209" i="1"/>
  <c r="P205" i="1"/>
  <c r="P201" i="1"/>
  <c r="P197" i="1"/>
  <c r="P193" i="1"/>
  <c r="P189" i="1"/>
  <c r="P185" i="1"/>
  <c r="P181" i="1"/>
  <c r="P177" i="1"/>
  <c r="P173" i="1"/>
  <c r="P169" i="1"/>
  <c r="P165" i="1"/>
  <c r="P161" i="1"/>
  <c r="P157" i="1"/>
  <c r="P153" i="1"/>
  <c r="P149" i="1"/>
  <c r="P145" i="1"/>
  <c r="P141" i="1"/>
  <c r="P137" i="1"/>
  <c r="P133" i="1"/>
  <c r="P129" i="1"/>
  <c r="P125" i="1"/>
  <c r="P121" i="1"/>
  <c r="P117" i="1"/>
  <c r="P113" i="1"/>
  <c r="P109" i="1"/>
  <c r="P105" i="1"/>
  <c r="P101" i="1"/>
  <c r="P97" i="1"/>
  <c r="P93" i="1"/>
  <c r="P89" i="1"/>
  <c r="P85" i="1"/>
  <c r="P81" i="1"/>
  <c r="M254" i="1"/>
  <c r="M246" i="1"/>
  <c r="O272" i="1" s="1"/>
  <c r="M242" i="1"/>
  <c r="O268" i="1" s="1"/>
  <c r="M238" i="1"/>
  <c r="O264" i="1" s="1"/>
  <c r="M230" i="1"/>
  <c r="O256" i="1" s="1"/>
  <c r="M222" i="1"/>
  <c r="O248" i="1" s="1"/>
  <c r="M214" i="1"/>
  <c r="O240" i="1" s="1"/>
  <c r="M206" i="1"/>
  <c r="O232" i="1" s="1"/>
  <c r="M198" i="1"/>
  <c r="O224" i="1" s="1"/>
  <c r="M190" i="1"/>
  <c r="O216" i="1" s="1"/>
  <c r="M182" i="1"/>
  <c r="O208" i="1" s="1"/>
  <c r="M174" i="1"/>
  <c r="O200" i="1" s="1"/>
  <c r="M166" i="1"/>
  <c r="O192" i="1" s="1"/>
  <c r="M158" i="1"/>
  <c r="O184" i="1" s="1"/>
  <c r="M150" i="1"/>
  <c r="O176" i="1" s="1"/>
  <c r="M142" i="1"/>
  <c r="O168" i="1" s="1"/>
  <c r="M134" i="1"/>
  <c r="O160" i="1" s="1"/>
  <c r="M126" i="1"/>
  <c r="O152" i="1" s="1"/>
  <c r="M118" i="1"/>
  <c r="O144" i="1" s="1"/>
  <c r="M110" i="1"/>
  <c r="O136" i="1" s="1"/>
  <c r="M102" i="1"/>
  <c r="O128" i="1" s="1"/>
  <c r="M94" i="1"/>
  <c r="O120" i="1" s="1"/>
  <c r="M86" i="1"/>
  <c r="O112" i="1" s="1"/>
  <c r="M78" i="1"/>
  <c r="O104" i="1" s="1"/>
  <c r="M70" i="1"/>
  <c r="O96" i="1" s="1"/>
  <c r="M62" i="1"/>
  <c r="O88" i="1" s="1"/>
  <c r="M54" i="1"/>
  <c r="O80" i="1" s="1"/>
  <c r="N245" i="1"/>
  <c r="N229" i="1"/>
  <c r="O255" i="1" s="1"/>
  <c r="N213" i="1"/>
  <c r="O239" i="1" s="1"/>
  <c r="N197" i="1"/>
  <c r="O223" i="1" s="1"/>
  <c r="N228" i="1"/>
  <c r="M228" i="1"/>
  <c r="O254" i="1" s="1"/>
  <c r="N216" i="1"/>
  <c r="M216" i="1"/>
  <c r="O242" i="1" s="1"/>
  <c r="N204" i="1"/>
  <c r="M204" i="1"/>
  <c r="O230" i="1" s="1"/>
  <c r="N192" i="1"/>
  <c r="M192" i="1"/>
  <c r="O218" i="1" s="1"/>
  <c r="N184" i="1"/>
  <c r="M184" i="1"/>
  <c r="O210" i="1" s="1"/>
  <c r="N172" i="1"/>
  <c r="M172" i="1"/>
  <c r="O198" i="1" s="1"/>
  <c r="N160" i="1"/>
  <c r="M160" i="1"/>
  <c r="O186" i="1" s="1"/>
  <c r="N148" i="1"/>
  <c r="M148" i="1"/>
  <c r="O174" i="1" s="1"/>
  <c r="N136" i="1"/>
  <c r="M136" i="1"/>
  <c r="O162" i="1" s="1"/>
  <c r="N124" i="1"/>
  <c r="M124" i="1"/>
  <c r="O150" i="1" s="1"/>
  <c r="N112" i="1"/>
  <c r="M112" i="1"/>
  <c r="O138" i="1" s="1"/>
  <c r="N100" i="1"/>
  <c r="M100" i="1"/>
  <c r="O126" i="1" s="1"/>
  <c r="N88" i="1"/>
  <c r="M88" i="1"/>
  <c r="O114" i="1" s="1"/>
  <c r="N76" i="1"/>
  <c r="M76" i="1"/>
  <c r="O102" i="1" s="1"/>
  <c r="N64" i="1"/>
  <c r="M64" i="1"/>
  <c r="O90" i="1" s="1"/>
  <c r="M252" i="1"/>
  <c r="M244" i="1"/>
  <c r="O270" i="1" s="1"/>
  <c r="M236" i="1"/>
  <c r="O262" i="1" s="1"/>
  <c r="M232" i="1"/>
  <c r="O258" i="1" s="1"/>
  <c r="O244" i="1"/>
  <c r="O220" i="1"/>
  <c r="O196" i="1"/>
  <c r="O156" i="1"/>
  <c r="O140" i="1"/>
  <c r="N227" i="1"/>
  <c r="M227" i="1"/>
  <c r="N219" i="1"/>
  <c r="M219" i="1"/>
  <c r="O245" i="1" s="1"/>
  <c r="N207" i="1"/>
  <c r="M207" i="1"/>
  <c r="N195" i="1"/>
  <c r="M195" i="1"/>
  <c r="O221" i="1" s="1"/>
  <c r="N187" i="1"/>
  <c r="M187" i="1"/>
  <c r="N175" i="1"/>
  <c r="M175" i="1"/>
  <c r="O201" i="1" s="1"/>
  <c r="N163" i="1"/>
  <c r="M163" i="1"/>
  <c r="N155" i="1"/>
  <c r="M155" i="1"/>
  <c r="O181" i="1" s="1"/>
  <c r="N139" i="1"/>
  <c r="M139" i="1"/>
  <c r="M253" i="1"/>
  <c r="M241" i="1"/>
  <c r="O267" i="1" s="1"/>
  <c r="M233" i="1"/>
  <c r="O259" i="1" s="1"/>
  <c r="M189" i="1"/>
  <c r="O215" i="1" s="1"/>
  <c r="M181" i="1"/>
  <c r="O207" i="1" s="1"/>
  <c r="M173" i="1"/>
  <c r="O199" i="1" s="1"/>
  <c r="M165" i="1"/>
  <c r="O191" i="1" s="1"/>
  <c r="M157" i="1"/>
  <c r="O183" i="1" s="1"/>
  <c r="M149" i="1"/>
  <c r="O175" i="1" s="1"/>
  <c r="M141" i="1"/>
  <c r="O167" i="1" s="1"/>
  <c r="M133" i="1"/>
  <c r="O159" i="1" s="1"/>
  <c r="M125" i="1"/>
  <c r="O151" i="1" s="1"/>
  <c r="M117" i="1"/>
  <c r="O143" i="1" s="1"/>
  <c r="M109" i="1"/>
  <c r="O135" i="1" s="1"/>
  <c r="M101" i="1"/>
  <c r="O127" i="1" s="1"/>
  <c r="M93" i="1"/>
  <c r="O119" i="1" s="1"/>
  <c r="M85" i="1"/>
  <c r="O111" i="1" s="1"/>
  <c r="M77" i="1"/>
  <c r="O103" i="1" s="1"/>
  <c r="M69" i="1"/>
  <c r="O95" i="1" s="1"/>
  <c r="M61" i="1"/>
  <c r="O87" i="1" s="1"/>
  <c r="C1" i="1"/>
  <c r="O165" i="1" l="1"/>
  <c r="O189" i="1"/>
  <c r="O213" i="1"/>
  <c r="O233" i="1"/>
  <c r="O253" i="1"/>
  <c r="O177" i="1"/>
  <c r="O205" i="1"/>
  <c r="O225" i="1"/>
  <c r="O249" i="1"/>
  <c r="O134" i="1"/>
  <c r="O158" i="1"/>
  <c r="O178" i="1"/>
  <c r="O202" i="1"/>
  <c r="O222" i="1"/>
  <c r="O246" i="1"/>
  <c r="O85" i="1"/>
  <c r="O93" i="1"/>
  <c r="O101" i="1"/>
  <c r="O109" i="1"/>
  <c r="O117" i="1"/>
  <c r="O125" i="1"/>
  <c r="O133" i="1"/>
  <c r="O141" i="1"/>
  <c r="O149" i="1"/>
  <c r="O157" i="1"/>
  <c r="O173" i="1"/>
  <c r="O197" i="1"/>
  <c r="O229" i="1"/>
  <c r="O82" i="1"/>
  <c r="O106" i="1"/>
  <c r="O130" i="1"/>
  <c r="O154" i="1"/>
  <c r="O182" i="1"/>
  <c r="O206" i="1"/>
  <c r="O238" i="1"/>
</calcChain>
</file>

<file path=xl/sharedStrings.xml><?xml version="1.0" encoding="utf-8"?>
<sst xmlns="http://schemas.openxmlformats.org/spreadsheetml/2006/main" count="20" uniqueCount="20">
  <si>
    <t>US Stock symbol?</t>
  </si>
  <si>
    <t>AAPL</t>
  </si>
  <si>
    <t>Long period?</t>
  </si>
  <si>
    <t>Medium period?</t>
  </si>
  <si>
    <t>Short period?</t>
  </si>
  <si>
    <t>Plotting period?</t>
  </si>
  <si>
    <t>Tenkan-Sen</t>
  </si>
  <si>
    <t>Kijun-Sen</t>
  </si>
  <si>
    <t>Senkou Slow</t>
  </si>
  <si>
    <t>Senkou Fast</t>
  </si>
  <si>
    <t>Short term hi</t>
  </si>
  <si>
    <t>Short term lo</t>
  </si>
  <si>
    <t>Long term hi</t>
  </si>
  <si>
    <t>Long term lo</t>
  </si>
  <si>
    <t>Medium term hi</t>
  </si>
  <si>
    <t>Medium term lo</t>
  </si>
  <si>
    <t>Chikou lag</t>
  </si>
  <si>
    <t>WIKI/AAPL/HIGH</t>
  </si>
  <si>
    <t>WIKI/AAPL/LOW</t>
  </si>
  <si>
    <t>WIKI/AAPL/CLOSE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</si>
</sst>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Ichimoku</a:t>
            </a:r>
            <a:r>
              <a:rPr lang="en-US" baseline="0"/>
              <a:t> Kinko Hyo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Senkou Fast</c:v>
          </c:tx>
          <c:spPr>
            <a:ln w="28575" cap="rnd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Ichimoku!$C$2:$C$274</c:f>
              <c:numCache>
                <c:formatCode>m/d/yyyy</c:formatCode>
                <c:ptCount val="273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42731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42788</c:v>
                </c:pt>
                <c:pt idx="161">
                  <c:v>42789</c:v>
                </c:pt>
                <c:pt idx="162">
                  <c:v>42790</c:v>
                </c:pt>
                <c:pt idx="163">
                  <c:v>42793</c:v>
                </c:pt>
                <c:pt idx="164">
                  <c:v>42794</c:v>
                </c:pt>
                <c:pt idx="165">
                  <c:v>42795</c:v>
                </c:pt>
                <c:pt idx="166">
                  <c:v>42796</c:v>
                </c:pt>
                <c:pt idx="167">
                  <c:v>42797</c:v>
                </c:pt>
                <c:pt idx="168">
                  <c:v>42800</c:v>
                </c:pt>
                <c:pt idx="169">
                  <c:v>42801</c:v>
                </c:pt>
                <c:pt idx="170">
                  <c:v>42802</c:v>
                </c:pt>
                <c:pt idx="171">
                  <c:v>42803</c:v>
                </c:pt>
                <c:pt idx="172">
                  <c:v>42804</c:v>
                </c:pt>
                <c:pt idx="173">
                  <c:v>42807</c:v>
                </c:pt>
                <c:pt idx="174">
                  <c:v>42808</c:v>
                </c:pt>
                <c:pt idx="175">
                  <c:v>42809</c:v>
                </c:pt>
                <c:pt idx="176">
                  <c:v>42810</c:v>
                </c:pt>
                <c:pt idx="177">
                  <c:v>42811</c:v>
                </c:pt>
                <c:pt idx="178">
                  <c:v>42814</c:v>
                </c:pt>
                <c:pt idx="179">
                  <c:v>42815</c:v>
                </c:pt>
                <c:pt idx="180">
                  <c:v>42816</c:v>
                </c:pt>
                <c:pt idx="181">
                  <c:v>42817</c:v>
                </c:pt>
                <c:pt idx="182">
                  <c:v>42818</c:v>
                </c:pt>
                <c:pt idx="183">
                  <c:v>42821</c:v>
                </c:pt>
                <c:pt idx="184">
                  <c:v>42822</c:v>
                </c:pt>
                <c:pt idx="185">
                  <c:v>42823</c:v>
                </c:pt>
                <c:pt idx="186">
                  <c:v>42824</c:v>
                </c:pt>
                <c:pt idx="187">
                  <c:v>42825</c:v>
                </c:pt>
                <c:pt idx="188">
                  <c:v>42828</c:v>
                </c:pt>
                <c:pt idx="189">
                  <c:v>42829</c:v>
                </c:pt>
                <c:pt idx="190">
                  <c:v>42830</c:v>
                </c:pt>
                <c:pt idx="191">
                  <c:v>42831</c:v>
                </c:pt>
                <c:pt idx="192">
                  <c:v>42832</c:v>
                </c:pt>
                <c:pt idx="193">
                  <c:v>42835</c:v>
                </c:pt>
                <c:pt idx="194">
                  <c:v>42836</c:v>
                </c:pt>
                <c:pt idx="195">
                  <c:v>42837</c:v>
                </c:pt>
                <c:pt idx="196">
                  <c:v>42838</c:v>
                </c:pt>
                <c:pt idx="197">
                  <c:v>42842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42856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42917</c:v>
                </c:pt>
                <c:pt idx="252">
                  <c:v>42918</c:v>
                </c:pt>
                <c:pt idx="253">
                  <c:v>42919</c:v>
                </c:pt>
                <c:pt idx="254">
                  <c:v>42920</c:v>
                </c:pt>
                <c:pt idx="255">
                  <c:v>42921</c:v>
                </c:pt>
                <c:pt idx="256">
                  <c:v>42922</c:v>
                </c:pt>
                <c:pt idx="257">
                  <c:v>42923</c:v>
                </c:pt>
                <c:pt idx="258">
                  <c:v>42924</c:v>
                </c:pt>
                <c:pt idx="259">
                  <c:v>42925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42931</c:v>
                </c:pt>
                <c:pt idx="266">
                  <c:v>42932</c:v>
                </c:pt>
                <c:pt idx="267">
                  <c:v>42933</c:v>
                </c:pt>
                <c:pt idx="268">
                  <c:v>42934</c:v>
                </c:pt>
                <c:pt idx="269">
                  <c:v>42935</c:v>
                </c:pt>
                <c:pt idx="270">
                  <c:v>42936</c:v>
                </c:pt>
                <c:pt idx="271">
                  <c:v>42937</c:v>
                </c:pt>
                <c:pt idx="272">
                  <c:v>42938</c:v>
                </c:pt>
              </c:numCache>
            </c:numRef>
          </c:cat>
          <c:val>
            <c:numRef>
              <c:f>Ichimoku!$O$2:$O$274</c:f>
              <c:numCache>
                <c:formatCode>General</c:formatCode>
                <c:ptCount val="273"/>
                <c:pt idx="77">
                  <c:v>109.13</c:v>
                </c:pt>
                <c:pt idx="78">
                  <c:v>109.33</c:v>
                </c:pt>
                <c:pt idx="79">
                  <c:v>109.355</c:v>
                </c:pt>
                <c:pt idx="80">
                  <c:v>109.355</c:v>
                </c:pt>
                <c:pt idx="81">
                  <c:v>109.355</c:v>
                </c:pt>
                <c:pt idx="82">
                  <c:v>109.355</c:v>
                </c:pt>
                <c:pt idx="83">
                  <c:v>111.71000000000001</c:v>
                </c:pt>
                <c:pt idx="84">
                  <c:v>112.39</c:v>
                </c:pt>
                <c:pt idx="85">
                  <c:v>113.86500000000001</c:v>
                </c:pt>
                <c:pt idx="86">
                  <c:v>113.86500000000001</c:v>
                </c:pt>
                <c:pt idx="87">
                  <c:v>113.86500000000001</c:v>
                </c:pt>
                <c:pt idx="88">
                  <c:v>113.245</c:v>
                </c:pt>
                <c:pt idx="89">
                  <c:v>113.245</c:v>
                </c:pt>
                <c:pt idx="90">
                  <c:v>113.245</c:v>
                </c:pt>
                <c:pt idx="91">
                  <c:v>113.17</c:v>
                </c:pt>
                <c:pt idx="92">
                  <c:v>113.095</c:v>
                </c:pt>
                <c:pt idx="93">
                  <c:v>113.22</c:v>
                </c:pt>
                <c:pt idx="94">
                  <c:v>114.27500000000001</c:v>
                </c:pt>
                <c:pt idx="95">
                  <c:v>115.245</c:v>
                </c:pt>
                <c:pt idx="96">
                  <c:v>115.245</c:v>
                </c:pt>
                <c:pt idx="97">
                  <c:v>115.485</c:v>
                </c:pt>
                <c:pt idx="98">
                  <c:v>115.66</c:v>
                </c:pt>
                <c:pt idx="99">
                  <c:v>115.69</c:v>
                </c:pt>
                <c:pt idx="100">
                  <c:v>115.91</c:v>
                </c:pt>
                <c:pt idx="101">
                  <c:v>116.1</c:v>
                </c:pt>
                <c:pt idx="102">
                  <c:v>116.245</c:v>
                </c:pt>
                <c:pt idx="103">
                  <c:v>116.245</c:v>
                </c:pt>
                <c:pt idx="104">
                  <c:v>116.005</c:v>
                </c:pt>
                <c:pt idx="105">
                  <c:v>116.08</c:v>
                </c:pt>
                <c:pt idx="106">
                  <c:v>115.83500000000001</c:v>
                </c:pt>
                <c:pt idx="107">
                  <c:v>115.83500000000001</c:v>
                </c:pt>
                <c:pt idx="108">
                  <c:v>115.83500000000001</c:v>
                </c:pt>
                <c:pt idx="109">
                  <c:v>115.78</c:v>
                </c:pt>
                <c:pt idx="110">
                  <c:v>114.44499999999999</c:v>
                </c:pt>
                <c:pt idx="111">
                  <c:v>114.44499999999999</c:v>
                </c:pt>
                <c:pt idx="112">
                  <c:v>113.955</c:v>
                </c:pt>
                <c:pt idx="113">
                  <c:v>113.235</c:v>
                </c:pt>
                <c:pt idx="114">
                  <c:v>111.985</c:v>
                </c:pt>
                <c:pt idx="115">
                  <c:v>111.985</c:v>
                </c:pt>
                <c:pt idx="116">
                  <c:v>111.63</c:v>
                </c:pt>
                <c:pt idx="117">
                  <c:v>110.03</c:v>
                </c:pt>
                <c:pt idx="118">
                  <c:v>109.8</c:v>
                </c:pt>
                <c:pt idx="119">
                  <c:v>108.215</c:v>
                </c:pt>
                <c:pt idx="120">
                  <c:v>107.9</c:v>
                </c:pt>
                <c:pt idx="121">
                  <c:v>107.9</c:v>
                </c:pt>
                <c:pt idx="122">
                  <c:v>107.9</c:v>
                </c:pt>
                <c:pt idx="123">
                  <c:v>107.9</c:v>
                </c:pt>
                <c:pt idx="124">
                  <c:v>108.035</c:v>
                </c:pt>
                <c:pt idx="125">
                  <c:v>108.25</c:v>
                </c:pt>
                <c:pt idx="126">
                  <c:v>108.25</c:v>
                </c:pt>
                <c:pt idx="127">
                  <c:v>108.25</c:v>
                </c:pt>
                <c:pt idx="128">
                  <c:v>109.31215</c:v>
                </c:pt>
                <c:pt idx="129">
                  <c:v>109.5325</c:v>
                </c:pt>
                <c:pt idx="130">
                  <c:v>110.64750000000001</c:v>
                </c:pt>
                <c:pt idx="131">
                  <c:v>110.7475</c:v>
                </c:pt>
                <c:pt idx="132">
                  <c:v>110.6575</c:v>
                </c:pt>
                <c:pt idx="133">
                  <c:v>110.3575</c:v>
                </c:pt>
                <c:pt idx="134">
                  <c:v>110.3575</c:v>
                </c:pt>
                <c:pt idx="135">
                  <c:v>110.3575</c:v>
                </c:pt>
                <c:pt idx="136">
                  <c:v>110.3575</c:v>
                </c:pt>
                <c:pt idx="137">
                  <c:v>111.47499999999999</c:v>
                </c:pt>
                <c:pt idx="138">
                  <c:v>111.625</c:v>
                </c:pt>
                <c:pt idx="139">
                  <c:v>112.08500000000001</c:v>
                </c:pt>
                <c:pt idx="140">
                  <c:v>112.22499999999999</c:v>
                </c:pt>
                <c:pt idx="141">
                  <c:v>112.49000000000001</c:v>
                </c:pt>
                <c:pt idx="142">
                  <c:v>112.94499999999999</c:v>
                </c:pt>
                <c:pt idx="143">
                  <c:v>113.27</c:v>
                </c:pt>
                <c:pt idx="144">
                  <c:v>114.05</c:v>
                </c:pt>
                <c:pt idx="145">
                  <c:v>114.905</c:v>
                </c:pt>
                <c:pt idx="146">
                  <c:v>114.995</c:v>
                </c:pt>
                <c:pt idx="147">
                  <c:v>115.625</c:v>
                </c:pt>
                <c:pt idx="148">
                  <c:v>116.39</c:v>
                </c:pt>
                <c:pt idx="149">
                  <c:v>116.6233</c:v>
                </c:pt>
                <c:pt idx="150">
                  <c:v>116.80330000000001</c:v>
                </c:pt>
                <c:pt idx="151">
                  <c:v>116.72329999999999</c:v>
                </c:pt>
                <c:pt idx="152">
                  <c:v>116.3883</c:v>
                </c:pt>
                <c:pt idx="153">
                  <c:v>116.3883</c:v>
                </c:pt>
                <c:pt idx="154">
                  <c:v>116.3883</c:v>
                </c:pt>
                <c:pt idx="155">
                  <c:v>116.46000000000001</c:v>
                </c:pt>
                <c:pt idx="156">
                  <c:v>117.095</c:v>
                </c:pt>
                <c:pt idx="157">
                  <c:v>117.095</c:v>
                </c:pt>
                <c:pt idx="158">
                  <c:v>117.345</c:v>
                </c:pt>
                <c:pt idx="159">
                  <c:v>117.345</c:v>
                </c:pt>
                <c:pt idx="160">
                  <c:v>117.345</c:v>
                </c:pt>
                <c:pt idx="161">
                  <c:v>117.995</c:v>
                </c:pt>
                <c:pt idx="162">
                  <c:v>118.155</c:v>
                </c:pt>
                <c:pt idx="163">
                  <c:v>118.485</c:v>
                </c:pt>
                <c:pt idx="164">
                  <c:v>119.22</c:v>
                </c:pt>
                <c:pt idx="165">
                  <c:v>119.50999999999999</c:v>
                </c:pt>
                <c:pt idx="166">
                  <c:v>119.50999999999999</c:v>
                </c:pt>
                <c:pt idx="167">
                  <c:v>120.155</c:v>
                </c:pt>
                <c:pt idx="168">
                  <c:v>120.33</c:v>
                </c:pt>
                <c:pt idx="169">
                  <c:v>120.33</c:v>
                </c:pt>
                <c:pt idx="170">
                  <c:v>120.905</c:v>
                </c:pt>
                <c:pt idx="171">
                  <c:v>120.905</c:v>
                </c:pt>
                <c:pt idx="172">
                  <c:v>124.995</c:v>
                </c:pt>
                <c:pt idx="173">
                  <c:v>124.995</c:v>
                </c:pt>
                <c:pt idx="174">
                  <c:v>124.995</c:v>
                </c:pt>
                <c:pt idx="175">
                  <c:v>125.39</c:v>
                </c:pt>
                <c:pt idx="176">
                  <c:v>126.355</c:v>
                </c:pt>
                <c:pt idx="177">
                  <c:v>126.42</c:v>
                </c:pt>
                <c:pt idx="178">
                  <c:v>126.5325</c:v>
                </c:pt>
                <c:pt idx="179">
                  <c:v>126.78</c:v>
                </c:pt>
                <c:pt idx="180">
                  <c:v>130.41499999999999</c:v>
                </c:pt>
                <c:pt idx="181">
                  <c:v>131.435</c:v>
                </c:pt>
                <c:pt idx="182">
                  <c:v>132.215</c:v>
                </c:pt>
                <c:pt idx="183">
                  <c:v>132.58500000000001</c:v>
                </c:pt>
                <c:pt idx="184">
                  <c:v>133.36000000000001</c:v>
                </c:pt>
                <c:pt idx="185">
                  <c:v>133.935</c:v>
                </c:pt>
                <c:pt idx="186">
                  <c:v>134.12</c:v>
                </c:pt>
                <c:pt idx="187">
                  <c:v>134.76499999999999</c:v>
                </c:pt>
                <c:pt idx="188">
                  <c:v>135.11500000000001</c:v>
                </c:pt>
                <c:pt idx="189">
                  <c:v>135.36500000000001</c:v>
                </c:pt>
                <c:pt idx="190">
                  <c:v>136.05000000000001</c:v>
                </c:pt>
                <c:pt idx="191">
                  <c:v>137.4949</c:v>
                </c:pt>
                <c:pt idx="192">
                  <c:v>137.6893</c:v>
                </c:pt>
                <c:pt idx="193">
                  <c:v>137.77930000000001</c:v>
                </c:pt>
                <c:pt idx="194">
                  <c:v>137.77930000000001</c:v>
                </c:pt>
                <c:pt idx="195">
                  <c:v>137.77930000000001</c:v>
                </c:pt>
                <c:pt idx="196">
                  <c:v>137.77930000000001</c:v>
                </c:pt>
                <c:pt idx="197">
                  <c:v>138.27930000000001</c:v>
                </c:pt>
                <c:pt idx="198">
                  <c:v>138.48930000000001</c:v>
                </c:pt>
                <c:pt idx="199">
                  <c:v>138.66430000000003</c:v>
                </c:pt>
                <c:pt idx="200">
                  <c:v>138.66430000000003</c:v>
                </c:pt>
                <c:pt idx="201">
                  <c:v>138.90005000000002</c:v>
                </c:pt>
                <c:pt idx="202">
                  <c:v>139.03500000000003</c:v>
                </c:pt>
                <c:pt idx="203">
                  <c:v>139.03500000000003</c:v>
                </c:pt>
                <c:pt idx="204">
                  <c:v>139.27500000000001</c:v>
                </c:pt>
                <c:pt idx="205">
                  <c:v>139.92500000000001</c:v>
                </c:pt>
                <c:pt idx="206">
                  <c:v>140.72</c:v>
                </c:pt>
                <c:pt idx="207">
                  <c:v>140.81</c:v>
                </c:pt>
                <c:pt idx="208">
                  <c:v>140.82</c:v>
                </c:pt>
                <c:pt idx="209">
                  <c:v>140.71</c:v>
                </c:pt>
                <c:pt idx="210">
                  <c:v>141.32999999999998</c:v>
                </c:pt>
                <c:pt idx="211">
                  <c:v>141.55500000000001</c:v>
                </c:pt>
                <c:pt idx="212">
                  <c:v>141.56</c:v>
                </c:pt>
                <c:pt idx="213">
                  <c:v>141.56</c:v>
                </c:pt>
                <c:pt idx="214">
                  <c:v>141.56</c:v>
                </c:pt>
                <c:pt idx="215">
                  <c:v>141.755</c:v>
                </c:pt>
                <c:pt idx="216">
                  <c:v>142.04000000000002</c:v>
                </c:pt>
                <c:pt idx="217">
                  <c:v>142.04000000000002</c:v>
                </c:pt>
                <c:pt idx="218">
                  <c:v>143.04000000000002</c:v>
                </c:pt>
                <c:pt idx="219">
                  <c:v>144.18</c:v>
                </c:pt>
                <c:pt idx="220">
                  <c:v>142.76</c:v>
                </c:pt>
                <c:pt idx="221">
                  <c:v>142.76</c:v>
                </c:pt>
                <c:pt idx="222">
                  <c:v>142.76</c:v>
                </c:pt>
                <c:pt idx="223">
                  <c:v>142.76</c:v>
                </c:pt>
                <c:pt idx="224">
                  <c:v>142.76</c:v>
                </c:pt>
                <c:pt idx="225">
                  <c:v>142.29000000000002</c:v>
                </c:pt>
                <c:pt idx="226">
                  <c:v>142.12</c:v>
                </c:pt>
                <c:pt idx="227">
                  <c:v>141.96960000000001</c:v>
                </c:pt>
                <c:pt idx="228">
                  <c:v>142.005</c:v>
                </c:pt>
                <c:pt idx="229">
                  <c:v>142.67500000000001</c:v>
                </c:pt>
                <c:pt idx="230">
                  <c:v>142.67500000000001</c:v>
                </c:pt>
                <c:pt idx="231">
                  <c:v>142.67500000000001</c:v>
                </c:pt>
                <c:pt idx="232">
                  <c:v>142.67500000000001</c:v>
                </c:pt>
                <c:pt idx="233">
                  <c:v>143.82499999999999</c:v>
                </c:pt>
                <c:pt idx="234">
                  <c:v>144.625</c:v>
                </c:pt>
                <c:pt idx="235">
                  <c:v>144.97</c:v>
                </c:pt>
                <c:pt idx="236">
                  <c:v>145.63499999999999</c:v>
                </c:pt>
                <c:pt idx="237">
                  <c:v>146.125</c:v>
                </c:pt>
                <c:pt idx="238">
                  <c:v>148.48500000000001</c:v>
                </c:pt>
                <c:pt idx="239">
                  <c:v>149.07499999999999</c:v>
                </c:pt>
                <c:pt idx="240">
                  <c:v>149.07499999999999</c:v>
                </c:pt>
                <c:pt idx="241">
                  <c:v>149.57499999999999</c:v>
                </c:pt>
                <c:pt idx="242">
                  <c:v>150.345</c:v>
                </c:pt>
                <c:pt idx="243">
                  <c:v>150.46</c:v>
                </c:pt>
                <c:pt idx="244">
                  <c:v>151.23000000000002</c:v>
                </c:pt>
                <c:pt idx="245">
                  <c:v>151.70499999999998</c:v>
                </c:pt>
                <c:pt idx="246">
                  <c:v>152.84</c:v>
                </c:pt>
                <c:pt idx="247">
                  <c:v>153.18</c:v>
                </c:pt>
                <c:pt idx="248">
                  <c:v>153.18</c:v>
                </c:pt>
                <c:pt idx="249">
                  <c:v>153.18</c:v>
                </c:pt>
                <c:pt idx="250">
                  <c:v>153.18</c:v>
                </c:pt>
                <c:pt idx="251">
                  <c:v>153.18</c:v>
                </c:pt>
                <c:pt idx="252">
                  <c:v>152.88499999999999</c:v>
                </c:pt>
                <c:pt idx="253">
                  <c:v>152.30500000000001</c:v>
                </c:pt>
                <c:pt idx="254">
                  <c:v>153.01499999999999</c:v>
                </c:pt>
                <c:pt idx="255">
                  <c:v>153.56</c:v>
                </c:pt>
                <c:pt idx="256">
                  <c:v>153.83499999999998</c:v>
                </c:pt>
                <c:pt idx="257">
                  <c:v>153.83499999999998</c:v>
                </c:pt>
                <c:pt idx="258">
                  <c:v>154.01499999999999</c:v>
                </c:pt>
                <c:pt idx="259">
                  <c:v>154.1</c:v>
                </c:pt>
                <c:pt idx="260">
                  <c:v>154.1</c:v>
                </c:pt>
                <c:pt idx="261">
                  <c:v>151</c:v>
                </c:pt>
                <c:pt idx="262">
                  <c:v>149.245</c:v>
                </c:pt>
                <c:pt idx="263">
                  <c:v>149.245</c:v>
                </c:pt>
                <c:pt idx="264">
                  <c:v>149.245</c:v>
                </c:pt>
                <c:pt idx="265">
                  <c:v>149.095</c:v>
                </c:pt>
                <c:pt idx="266">
                  <c:v>149.08999999999997</c:v>
                </c:pt>
                <c:pt idx="267">
                  <c:v>149.08999999999997</c:v>
                </c:pt>
                <c:pt idx="268">
                  <c:v>148.87</c:v>
                </c:pt>
                <c:pt idx="269">
                  <c:v>148.69499999999999</c:v>
                </c:pt>
                <c:pt idx="270">
                  <c:v>144.85</c:v>
                </c:pt>
                <c:pt idx="271">
                  <c:v>144.85</c:v>
                </c:pt>
                <c:pt idx="272">
                  <c:v>145.24</c:v>
                </c:pt>
              </c:numCache>
            </c:numRef>
          </c:val>
          <c:smooth val="0"/>
        </c:ser>
        <c:ser>
          <c:idx val="0"/>
          <c:order val="1"/>
          <c:tx>
            <c:v>Close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Ichimoku!$C$2:$C$274</c:f>
              <c:numCache>
                <c:formatCode>m/d/yyyy</c:formatCode>
                <c:ptCount val="273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42731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42788</c:v>
                </c:pt>
                <c:pt idx="161">
                  <c:v>42789</c:v>
                </c:pt>
                <c:pt idx="162">
                  <c:v>42790</c:v>
                </c:pt>
                <c:pt idx="163">
                  <c:v>42793</c:v>
                </c:pt>
                <c:pt idx="164">
                  <c:v>42794</c:v>
                </c:pt>
                <c:pt idx="165">
                  <c:v>42795</c:v>
                </c:pt>
                <c:pt idx="166">
                  <c:v>42796</c:v>
                </c:pt>
                <c:pt idx="167">
                  <c:v>42797</c:v>
                </c:pt>
                <c:pt idx="168">
                  <c:v>42800</c:v>
                </c:pt>
                <c:pt idx="169">
                  <c:v>42801</c:v>
                </c:pt>
                <c:pt idx="170">
                  <c:v>42802</c:v>
                </c:pt>
                <c:pt idx="171">
                  <c:v>42803</c:v>
                </c:pt>
                <c:pt idx="172">
                  <c:v>42804</c:v>
                </c:pt>
                <c:pt idx="173">
                  <c:v>42807</c:v>
                </c:pt>
                <c:pt idx="174">
                  <c:v>42808</c:v>
                </c:pt>
                <c:pt idx="175">
                  <c:v>42809</c:v>
                </c:pt>
                <c:pt idx="176">
                  <c:v>42810</c:v>
                </c:pt>
                <c:pt idx="177">
                  <c:v>42811</c:v>
                </c:pt>
                <c:pt idx="178">
                  <c:v>42814</c:v>
                </c:pt>
                <c:pt idx="179">
                  <c:v>42815</c:v>
                </c:pt>
                <c:pt idx="180">
                  <c:v>42816</c:v>
                </c:pt>
                <c:pt idx="181">
                  <c:v>42817</c:v>
                </c:pt>
                <c:pt idx="182">
                  <c:v>42818</c:v>
                </c:pt>
                <c:pt idx="183">
                  <c:v>42821</c:v>
                </c:pt>
                <c:pt idx="184">
                  <c:v>42822</c:v>
                </c:pt>
                <c:pt idx="185">
                  <c:v>42823</c:v>
                </c:pt>
                <c:pt idx="186">
                  <c:v>42824</c:v>
                </c:pt>
                <c:pt idx="187">
                  <c:v>42825</c:v>
                </c:pt>
                <c:pt idx="188">
                  <c:v>42828</c:v>
                </c:pt>
                <c:pt idx="189">
                  <c:v>42829</c:v>
                </c:pt>
                <c:pt idx="190">
                  <c:v>42830</c:v>
                </c:pt>
                <c:pt idx="191">
                  <c:v>42831</c:v>
                </c:pt>
                <c:pt idx="192">
                  <c:v>42832</c:v>
                </c:pt>
                <c:pt idx="193">
                  <c:v>42835</c:v>
                </c:pt>
                <c:pt idx="194">
                  <c:v>42836</c:v>
                </c:pt>
                <c:pt idx="195">
                  <c:v>42837</c:v>
                </c:pt>
                <c:pt idx="196">
                  <c:v>42838</c:v>
                </c:pt>
                <c:pt idx="197">
                  <c:v>42842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42856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42917</c:v>
                </c:pt>
                <c:pt idx="252">
                  <c:v>42918</c:v>
                </c:pt>
                <c:pt idx="253">
                  <c:v>42919</c:v>
                </c:pt>
                <c:pt idx="254">
                  <c:v>42920</c:v>
                </c:pt>
                <c:pt idx="255">
                  <c:v>42921</c:v>
                </c:pt>
                <c:pt idx="256">
                  <c:v>42922</c:v>
                </c:pt>
                <c:pt idx="257">
                  <c:v>42923</c:v>
                </c:pt>
                <c:pt idx="258">
                  <c:v>42924</c:v>
                </c:pt>
                <c:pt idx="259">
                  <c:v>42925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42931</c:v>
                </c:pt>
                <c:pt idx="266">
                  <c:v>42932</c:v>
                </c:pt>
                <c:pt idx="267">
                  <c:v>42933</c:v>
                </c:pt>
                <c:pt idx="268">
                  <c:v>42934</c:v>
                </c:pt>
                <c:pt idx="269">
                  <c:v>42935</c:v>
                </c:pt>
                <c:pt idx="270">
                  <c:v>42936</c:v>
                </c:pt>
                <c:pt idx="271">
                  <c:v>42937</c:v>
                </c:pt>
                <c:pt idx="272">
                  <c:v>42938</c:v>
                </c:pt>
              </c:numCache>
            </c:numRef>
          </c:cat>
          <c:val>
            <c:numRef>
              <c:f>Ichimoku!$F$2:$F$274</c:f>
              <c:numCache>
                <c:formatCode>General</c:formatCode>
                <c:ptCount val="273"/>
                <c:pt idx="0">
                  <c:v>94.99</c:v>
                </c:pt>
                <c:pt idx="1">
                  <c:v>95.53</c:v>
                </c:pt>
                <c:pt idx="2">
                  <c:v>95.94</c:v>
                </c:pt>
                <c:pt idx="3">
                  <c:v>96.68</c:v>
                </c:pt>
                <c:pt idx="4">
                  <c:v>96.98</c:v>
                </c:pt>
                <c:pt idx="5">
                  <c:v>97.42</c:v>
                </c:pt>
                <c:pt idx="6">
                  <c:v>96.87</c:v>
                </c:pt>
                <c:pt idx="7">
                  <c:v>98.79</c:v>
                </c:pt>
                <c:pt idx="8">
                  <c:v>98.78</c:v>
                </c:pt>
                <c:pt idx="9">
                  <c:v>99.83</c:v>
                </c:pt>
                <c:pt idx="10">
                  <c:v>99.87</c:v>
                </c:pt>
                <c:pt idx="11">
                  <c:v>99.96</c:v>
                </c:pt>
                <c:pt idx="12">
                  <c:v>99.43</c:v>
                </c:pt>
                <c:pt idx="13">
                  <c:v>98.66</c:v>
                </c:pt>
                <c:pt idx="14">
                  <c:v>97.34</c:v>
                </c:pt>
                <c:pt idx="15">
                  <c:v>96.67</c:v>
                </c:pt>
                <c:pt idx="16">
                  <c:v>102.95</c:v>
                </c:pt>
                <c:pt idx="17">
                  <c:v>104.34</c:v>
                </c:pt>
                <c:pt idx="18">
                  <c:v>104.21</c:v>
                </c:pt>
                <c:pt idx="19">
                  <c:v>106.05</c:v>
                </c:pt>
                <c:pt idx="20">
                  <c:v>104.48</c:v>
                </c:pt>
                <c:pt idx="21">
                  <c:v>105.79</c:v>
                </c:pt>
                <c:pt idx="22">
                  <c:v>105.87</c:v>
                </c:pt>
                <c:pt idx="23">
                  <c:v>107.48</c:v>
                </c:pt>
                <c:pt idx="24">
                  <c:v>108.37</c:v>
                </c:pt>
                <c:pt idx="25">
                  <c:v>108.81</c:v>
                </c:pt>
                <c:pt idx="26">
                  <c:v>108</c:v>
                </c:pt>
                <c:pt idx="27">
                  <c:v>107.93</c:v>
                </c:pt>
                <c:pt idx="28">
                  <c:v>108.18</c:v>
                </c:pt>
                <c:pt idx="29">
                  <c:v>109.48</c:v>
                </c:pt>
                <c:pt idx="30">
                  <c:v>109.38</c:v>
                </c:pt>
                <c:pt idx="31">
                  <c:v>109.22</c:v>
                </c:pt>
                <c:pt idx="32">
                  <c:v>109.08</c:v>
                </c:pt>
                <c:pt idx="33">
                  <c:v>109.36</c:v>
                </c:pt>
                <c:pt idx="34">
                  <c:v>108.51</c:v>
                </c:pt>
                <c:pt idx="35">
                  <c:v>108.85</c:v>
                </c:pt>
                <c:pt idx="36">
                  <c:v>108.03</c:v>
                </c:pt>
                <c:pt idx="37">
                  <c:v>107.57</c:v>
                </c:pt>
                <c:pt idx="38">
                  <c:v>106.94</c:v>
                </c:pt>
                <c:pt idx="39">
                  <c:v>106.82</c:v>
                </c:pt>
                <c:pt idx="40">
                  <c:v>106</c:v>
                </c:pt>
                <c:pt idx="41">
                  <c:v>106.1</c:v>
                </c:pt>
                <c:pt idx="42">
                  <c:v>106.73</c:v>
                </c:pt>
                <c:pt idx="43">
                  <c:v>107.73</c:v>
                </c:pt>
                <c:pt idx="44">
                  <c:v>107.7</c:v>
                </c:pt>
                <c:pt idx="45">
                  <c:v>108.36</c:v>
                </c:pt>
                <c:pt idx="46">
                  <c:v>105.52</c:v>
                </c:pt>
                <c:pt idx="47">
                  <c:v>103.13</c:v>
                </c:pt>
                <c:pt idx="48">
                  <c:v>105.44</c:v>
                </c:pt>
                <c:pt idx="49">
                  <c:v>107.95</c:v>
                </c:pt>
                <c:pt idx="50">
                  <c:v>111.77</c:v>
                </c:pt>
                <c:pt idx="51">
                  <c:v>115.57</c:v>
                </c:pt>
                <c:pt idx="52">
                  <c:v>114.92</c:v>
                </c:pt>
                <c:pt idx="53">
                  <c:v>113.58</c:v>
                </c:pt>
                <c:pt idx="54">
                  <c:v>113.57</c:v>
                </c:pt>
                <c:pt idx="55">
                  <c:v>113.55</c:v>
                </c:pt>
                <c:pt idx="56">
                  <c:v>114.62</c:v>
                </c:pt>
                <c:pt idx="57">
                  <c:v>112.71</c:v>
                </c:pt>
                <c:pt idx="58">
                  <c:v>112.88</c:v>
                </c:pt>
                <c:pt idx="59">
                  <c:v>113.09</c:v>
                </c:pt>
                <c:pt idx="60">
                  <c:v>113.95</c:v>
                </c:pt>
                <c:pt idx="61">
                  <c:v>112.18</c:v>
                </c:pt>
                <c:pt idx="62">
                  <c:v>113.05</c:v>
                </c:pt>
                <c:pt idx="63">
                  <c:v>112.52</c:v>
                </c:pt>
                <c:pt idx="64">
                  <c:v>113</c:v>
                </c:pt>
                <c:pt idx="65">
                  <c:v>113.05</c:v>
                </c:pt>
                <c:pt idx="66">
                  <c:v>113.89</c:v>
                </c:pt>
                <c:pt idx="67">
                  <c:v>114.06</c:v>
                </c:pt>
                <c:pt idx="68">
                  <c:v>116.05</c:v>
                </c:pt>
                <c:pt idx="69">
                  <c:v>116.3</c:v>
                </c:pt>
                <c:pt idx="70">
                  <c:v>117.34</c:v>
                </c:pt>
                <c:pt idx="71">
                  <c:v>116.98</c:v>
                </c:pt>
                <c:pt idx="72">
                  <c:v>117.63</c:v>
                </c:pt>
                <c:pt idx="73">
                  <c:v>117.55</c:v>
                </c:pt>
                <c:pt idx="74">
                  <c:v>117.47</c:v>
                </c:pt>
                <c:pt idx="75">
                  <c:v>117.12</c:v>
                </c:pt>
                <c:pt idx="76">
                  <c:v>117.06</c:v>
                </c:pt>
                <c:pt idx="77">
                  <c:v>116.6</c:v>
                </c:pt>
                <c:pt idx="78">
                  <c:v>117.65</c:v>
                </c:pt>
                <c:pt idx="79">
                  <c:v>118.25</c:v>
                </c:pt>
                <c:pt idx="80">
                  <c:v>115.59</c:v>
                </c:pt>
                <c:pt idx="81">
                  <c:v>114.48</c:v>
                </c:pt>
                <c:pt idx="82">
                  <c:v>113.72</c:v>
                </c:pt>
                <c:pt idx="83">
                  <c:v>113.54</c:v>
                </c:pt>
                <c:pt idx="84">
                  <c:v>111.49</c:v>
                </c:pt>
                <c:pt idx="85">
                  <c:v>111.59</c:v>
                </c:pt>
                <c:pt idx="86">
                  <c:v>109.83</c:v>
                </c:pt>
                <c:pt idx="87">
                  <c:v>108.84</c:v>
                </c:pt>
                <c:pt idx="88">
                  <c:v>110.41</c:v>
                </c:pt>
                <c:pt idx="89">
                  <c:v>111.06</c:v>
                </c:pt>
                <c:pt idx="90">
                  <c:v>110.88</c:v>
                </c:pt>
                <c:pt idx="91">
                  <c:v>107.79</c:v>
                </c:pt>
                <c:pt idx="92">
                  <c:v>108.43</c:v>
                </c:pt>
                <c:pt idx="93">
                  <c:v>105.71</c:v>
                </c:pt>
                <c:pt idx="94">
                  <c:v>107.11</c:v>
                </c:pt>
                <c:pt idx="95">
                  <c:v>109.99</c:v>
                </c:pt>
                <c:pt idx="96">
                  <c:v>109.95</c:v>
                </c:pt>
                <c:pt idx="97">
                  <c:v>110.06</c:v>
                </c:pt>
                <c:pt idx="98">
                  <c:v>111.73</c:v>
                </c:pt>
                <c:pt idx="99">
                  <c:v>111.8</c:v>
                </c:pt>
                <c:pt idx="100">
                  <c:v>111.23</c:v>
                </c:pt>
                <c:pt idx="101">
                  <c:v>111.79</c:v>
                </c:pt>
                <c:pt idx="102">
                  <c:v>111.57</c:v>
                </c:pt>
                <c:pt idx="103">
                  <c:v>111.46</c:v>
                </c:pt>
                <c:pt idx="104">
                  <c:v>110.52</c:v>
                </c:pt>
                <c:pt idx="105">
                  <c:v>109.49</c:v>
                </c:pt>
                <c:pt idx="106">
                  <c:v>109.9</c:v>
                </c:pt>
                <c:pt idx="107">
                  <c:v>109.11</c:v>
                </c:pt>
                <c:pt idx="108">
                  <c:v>109.95</c:v>
                </c:pt>
                <c:pt idx="109">
                  <c:v>111.03</c:v>
                </c:pt>
                <c:pt idx="110">
                  <c:v>112.12</c:v>
                </c:pt>
                <c:pt idx="111">
                  <c:v>113.95</c:v>
                </c:pt>
                <c:pt idx="112">
                  <c:v>113.3</c:v>
                </c:pt>
                <c:pt idx="113">
                  <c:v>115.19</c:v>
                </c:pt>
                <c:pt idx="114">
                  <c:v>115.19</c:v>
                </c:pt>
                <c:pt idx="115">
                  <c:v>115.82</c:v>
                </c:pt>
                <c:pt idx="116">
                  <c:v>115.97</c:v>
                </c:pt>
                <c:pt idx="117">
                  <c:v>116.64</c:v>
                </c:pt>
                <c:pt idx="118">
                  <c:v>116.95</c:v>
                </c:pt>
                <c:pt idx="119">
                  <c:v>117.06</c:v>
                </c:pt>
                <c:pt idx="120">
                  <c:v>116.29</c:v>
                </c:pt>
                <c:pt idx="121">
                  <c:v>116.52</c:v>
                </c:pt>
                <c:pt idx="122">
                  <c:v>117.26</c:v>
                </c:pt>
                <c:pt idx="123">
                  <c:v>116.76</c:v>
                </c:pt>
                <c:pt idx="124">
                  <c:v>116.73</c:v>
                </c:pt>
                <c:pt idx="125">
                  <c:v>115.82</c:v>
                </c:pt>
                <c:pt idx="126">
                  <c:v>116.15</c:v>
                </c:pt>
                <c:pt idx="127">
                  <c:v>116.02</c:v>
                </c:pt>
                <c:pt idx="128">
                  <c:v>116.61</c:v>
                </c:pt>
                <c:pt idx="129">
                  <c:v>117.91</c:v>
                </c:pt>
                <c:pt idx="130">
                  <c:v>118.99</c:v>
                </c:pt>
                <c:pt idx="131">
                  <c:v>119.11</c:v>
                </c:pt>
                <c:pt idx="132">
                  <c:v>119.75</c:v>
                </c:pt>
                <c:pt idx="133">
                  <c:v>119.25</c:v>
                </c:pt>
                <c:pt idx="134">
                  <c:v>119.04</c:v>
                </c:pt>
                <c:pt idx="135">
                  <c:v>120</c:v>
                </c:pt>
                <c:pt idx="136">
                  <c:v>119.99</c:v>
                </c:pt>
                <c:pt idx="137">
                  <c:v>119.78</c:v>
                </c:pt>
                <c:pt idx="138">
                  <c:v>120</c:v>
                </c:pt>
                <c:pt idx="139">
                  <c:v>120.08</c:v>
                </c:pt>
                <c:pt idx="140">
                  <c:v>119.97</c:v>
                </c:pt>
                <c:pt idx="141">
                  <c:v>121.88</c:v>
                </c:pt>
                <c:pt idx="142">
                  <c:v>121.94</c:v>
                </c:pt>
                <c:pt idx="143">
                  <c:v>121.95</c:v>
                </c:pt>
                <c:pt idx="144">
                  <c:v>121.63</c:v>
                </c:pt>
                <c:pt idx="145">
                  <c:v>121.35</c:v>
                </c:pt>
                <c:pt idx="146">
                  <c:v>128.75</c:v>
                </c:pt>
                <c:pt idx="147">
                  <c:v>128.53</c:v>
                </c:pt>
                <c:pt idx="148">
                  <c:v>129.08000000000001</c:v>
                </c:pt>
                <c:pt idx="149">
                  <c:v>130.29</c:v>
                </c:pt>
                <c:pt idx="150">
                  <c:v>131.53</c:v>
                </c:pt>
                <c:pt idx="151">
                  <c:v>132.04</c:v>
                </c:pt>
                <c:pt idx="152">
                  <c:v>132.41999999999999</c:v>
                </c:pt>
                <c:pt idx="153">
                  <c:v>132.12</c:v>
                </c:pt>
                <c:pt idx="154">
                  <c:v>133.29</c:v>
                </c:pt>
                <c:pt idx="155">
                  <c:v>135.02000000000001</c:v>
                </c:pt>
                <c:pt idx="156">
                  <c:v>135.51</c:v>
                </c:pt>
                <c:pt idx="157">
                  <c:v>135.345</c:v>
                </c:pt>
                <c:pt idx="158">
                  <c:v>135.72</c:v>
                </c:pt>
                <c:pt idx="159">
                  <c:v>136.69999999999999</c:v>
                </c:pt>
                <c:pt idx="160">
                  <c:v>137.11000000000001</c:v>
                </c:pt>
                <c:pt idx="161">
                  <c:v>136.53</c:v>
                </c:pt>
                <c:pt idx="162">
                  <c:v>136.66</c:v>
                </c:pt>
                <c:pt idx="163">
                  <c:v>136.93</c:v>
                </c:pt>
                <c:pt idx="164">
                  <c:v>136.99</c:v>
                </c:pt>
                <c:pt idx="165">
                  <c:v>139.79</c:v>
                </c:pt>
                <c:pt idx="166">
                  <c:v>138.96</c:v>
                </c:pt>
                <c:pt idx="167">
                  <c:v>139.78</c:v>
                </c:pt>
                <c:pt idx="168">
                  <c:v>139.34</c:v>
                </c:pt>
                <c:pt idx="169">
                  <c:v>139.52000000000001</c:v>
                </c:pt>
                <c:pt idx="170">
                  <c:v>139</c:v>
                </c:pt>
                <c:pt idx="171">
                  <c:v>138.68</c:v>
                </c:pt>
                <c:pt idx="172">
                  <c:v>139.13999999999999</c:v>
                </c:pt>
                <c:pt idx="173">
                  <c:v>139.19999999999999</c:v>
                </c:pt>
                <c:pt idx="174">
                  <c:v>138.99</c:v>
                </c:pt>
                <c:pt idx="175">
                  <c:v>140.46</c:v>
                </c:pt>
                <c:pt idx="176">
                  <c:v>140.69</c:v>
                </c:pt>
                <c:pt idx="177">
                  <c:v>139.99</c:v>
                </c:pt>
                <c:pt idx="178">
                  <c:v>141.46</c:v>
                </c:pt>
                <c:pt idx="179">
                  <c:v>139.84</c:v>
                </c:pt>
                <c:pt idx="180">
                  <c:v>141.41999999999999</c:v>
                </c:pt>
                <c:pt idx="181">
                  <c:v>140.91999999999999</c:v>
                </c:pt>
                <c:pt idx="182">
                  <c:v>140.63999999999999</c:v>
                </c:pt>
                <c:pt idx="183">
                  <c:v>140.88</c:v>
                </c:pt>
                <c:pt idx="184">
                  <c:v>143.80000000000001</c:v>
                </c:pt>
                <c:pt idx="185">
                  <c:v>144.12</c:v>
                </c:pt>
                <c:pt idx="186">
                  <c:v>143.93</c:v>
                </c:pt>
                <c:pt idx="187">
                  <c:v>143.66</c:v>
                </c:pt>
                <c:pt idx="188">
                  <c:v>143.69999999999999</c:v>
                </c:pt>
                <c:pt idx="189">
                  <c:v>144.77000000000001</c:v>
                </c:pt>
                <c:pt idx="190">
                  <c:v>144.02000000000001</c:v>
                </c:pt>
                <c:pt idx="191">
                  <c:v>143.66</c:v>
                </c:pt>
                <c:pt idx="192">
                  <c:v>143.34</c:v>
                </c:pt>
                <c:pt idx="193">
                  <c:v>143.16999999999999</c:v>
                </c:pt>
                <c:pt idx="194">
                  <c:v>141.63</c:v>
                </c:pt>
                <c:pt idx="195">
                  <c:v>141.80000000000001</c:v>
                </c:pt>
                <c:pt idx="196">
                  <c:v>141.05000000000001</c:v>
                </c:pt>
                <c:pt idx="197">
                  <c:v>141.83000000000001</c:v>
                </c:pt>
                <c:pt idx="198">
                  <c:v>141.19999999999999</c:v>
                </c:pt>
                <c:pt idx="199">
                  <c:v>140.68</c:v>
                </c:pt>
                <c:pt idx="200">
                  <c:v>142.44</c:v>
                </c:pt>
                <c:pt idx="201">
                  <c:v>142.27000000000001</c:v>
                </c:pt>
                <c:pt idx="202">
                  <c:v>143.63999999999999</c:v>
                </c:pt>
                <c:pt idx="203">
                  <c:v>144.54</c:v>
                </c:pt>
                <c:pt idx="204">
                  <c:v>143.6508</c:v>
                </c:pt>
                <c:pt idx="205">
                  <c:v>143.79</c:v>
                </c:pt>
                <c:pt idx="206">
                  <c:v>143.65</c:v>
                </c:pt>
                <c:pt idx="207">
                  <c:v>146.6</c:v>
                </c:pt>
                <c:pt idx="208">
                  <c:v>147.51</c:v>
                </c:pt>
                <c:pt idx="209">
                  <c:v>147.06</c:v>
                </c:pt>
                <c:pt idx="210">
                  <c:v>146.53</c:v>
                </c:pt>
                <c:pt idx="211">
                  <c:v>148.96</c:v>
                </c:pt>
                <c:pt idx="212">
                  <c:v>153</c:v>
                </c:pt>
                <c:pt idx="213">
                  <c:v>153.96</c:v>
                </c:pt>
                <c:pt idx="214">
                  <c:v>153.26</c:v>
                </c:pt>
                <c:pt idx="215">
                  <c:v>153.94999999999999</c:v>
                </c:pt>
                <c:pt idx="216">
                  <c:v>156.1</c:v>
                </c:pt>
                <c:pt idx="217">
                  <c:v>155.69999999999999</c:v>
                </c:pt>
                <c:pt idx="218">
                  <c:v>155.47</c:v>
                </c:pt>
                <c:pt idx="219">
                  <c:v>150.25</c:v>
                </c:pt>
                <c:pt idx="220">
                  <c:v>152.54</c:v>
                </c:pt>
                <c:pt idx="221">
                  <c:v>152.96</c:v>
                </c:pt>
                <c:pt idx="222">
                  <c:v>153.99</c:v>
                </c:pt>
                <c:pt idx="223">
                  <c:v>153.80000000000001</c:v>
                </c:pt>
                <c:pt idx="224">
                  <c:v>153.34</c:v>
                </c:pt>
                <c:pt idx="225">
                  <c:v>153.87</c:v>
                </c:pt>
                <c:pt idx="226">
                  <c:v>153.61000000000001</c:v>
                </c:pt>
                <c:pt idx="227">
                  <c:v>153.66999999999999</c:v>
                </c:pt>
                <c:pt idx="228">
                  <c:v>152.76</c:v>
                </c:pt>
                <c:pt idx="229">
                  <c:v>153.18</c:v>
                </c:pt>
                <c:pt idx="230">
                  <c:v>155.44999999999999</c:v>
                </c:pt>
                <c:pt idx="231">
                  <c:v>153.93</c:v>
                </c:pt>
                <c:pt idx="232">
                  <c:v>154.44999999999999</c:v>
                </c:pt>
                <c:pt idx="233">
                  <c:v>155.37</c:v>
                </c:pt>
                <c:pt idx="234">
                  <c:v>154.99</c:v>
                </c:pt>
                <c:pt idx="235">
                  <c:v>148.97999999999999</c:v>
                </c:pt>
                <c:pt idx="236">
                  <c:v>145.32</c:v>
                </c:pt>
                <c:pt idx="237">
                  <c:v>146.59</c:v>
                </c:pt>
                <c:pt idx="238">
                  <c:v>145.16</c:v>
                </c:pt>
                <c:pt idx="239">
                  <c:v>144.29</c:v>
                </c:pt>
                <c:pt idx="240">
                  <c:v>142.27000000000001</c:v>
                </c:pt>
                <c:pt idx="241">
                  <c:v>146.34</c:v>
                </c:pt>
                <c:pt idx="242">
                  <c:v>145.01</c:v>
                </c:pt>
                <c:pt idx="243">
                  <c:v>145.87</c:v>
                </c:pt>
                <c:pt idx="244">
                  <c:v>145.63</c:v>
                </c:pt>
                <c:pt idx="245">
                  <c:v>146.35</c:v>
                </c:pt>
                <c:pt idx="246">
                  <c:v>145.82</c:v>
                </c:pt>
                <c:pt idx="247">
                  <c:v>143.74</c:v>
                </c:pt>
              </c:numCache>
            </c:numRef>
          </c:val>
          <c:smooth val="0"/>
        </c:ser>
        <c:ser>
          <c:idx val="4"/>
          <c:order val="2"/>
          <c:tx>
            <c:v>Tenkan-Sen</c:v>
          </c:tx>
          <c:spPr>
            <a:ln w="19050" cap="rnd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Ichimoku!$C$2:$C$274</c:f>
              <c:numCache>
                <c:formatCode>m/d/yyyy</c:formatCode>
                <c:ptCount val="273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42731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42788</c:v>
                </c:pt>
                <c:pt idx="161">
                  <c:v>42789</c:v>
                </c:pt>
                <c:pt idx="162">
                  <c:v>42790</c:v>
                </c:pt>
                <c:pt idx="163">
                  <c:v>42793</c:v>
                </c:pt>
                <c:pt idx="164">
                  <c:v>42794</c:v>
                </c:pt>
                <c:pt idx="165">
                  <c:v>42795</c:v>
                </c:pt>
                <c:pt idx="166">
                  <c:v>42796</c:v>
                </c:pt>
                <c:pt idx="167">
                  <c:v>42797</c:v>
                </c:pt>
                <c:pt idx="168">
                  <c:v>42800</c:v>
                </c:pt>
                <c:pt idx="169">
                  <c:v>42801</c:v>
                </c:pt>
                <c:pt idx="170">
                  <c:v>42802</c:v>
                </c:pt>
                <c:pt idx="171">
                  <c:v>42803</c:v>
                </c:pt>
                <c:pt idx="172">
                  <c:v>42804</c:v>
                </c:pt>
                <c:pt idx="173">
                  <c:v>42807</c:v>
                </c:pt>
                <c:pt idx="174">
                  <c:v>42808</c:v>
                </c:pt>
                <c:pt idx="175">
                  <c:v>42809</c:v>
                </c:pt>
                <c:pt idx="176">
                  <c:v>42810</c:v>
                </c:pt>
                <c:pt idx="177">
                  <c:v>42811</c:v>
                </c:pt>
                <c:pt idx="178">
                  <c:v>42814</c:v>
                </c:pt>
                <c:pt idx="179">
                  <c:v>42815</c:v>
                </c:pt>
                <c:pt idx="180">
                  <c:v>42816</c:v>
                </c:pt>
                <c:pt idx="181">
                  <c:v>42817</c:v>
                </c:pt>
                <c:pt idx="182">
                  <c:v>42818</c:v>
                </c:pt>
                <c:pt idx="183">
                  <c:v>42821</c:v>
                </c:pt>
                <c:pt idx="184">
                  <c:v>42822</c:v>
                </c:pt>
                <c:pt idx="185">
                  <c:v>42823</c:v>
                </c:pt>
                <c:pt idx="186">
                  <c:v>42824</c:v>
                </c:pt>
                <c:pt idx="187">
                  <c:v>42825</c:v>
                </c:pt>
                <c:pt idx="188">
                  <c:v>42828</c:v>
                </c:pt>
                <c:pt idx="189">
                  <c:v>42829</c:v>
                </c:pt>
                <c:pt idx="190">
                  <c:v>42830</c:v>
                </c:pt>
                <c:pt idx="191">
                  <c:v>42831</c:v>
                </c:pt>
                <c:pt idx="192">
                  <c:v>42832</c:v>
                </c:pt>
                <c:pt idx="193">
                  <c:v>42835</c:v>
                </c:pt>
                <c:pt idx="194">
                  <c:v>42836</c:v>
                </c:pt>
                <c:pt idx="195">
                  <c:v>42837</c:v>
                </c:pt>
                <c:pt idx="196">
                  <c:v>42838</c:v>
                </c:pt>
                <c:pt idx="197">
                  <c:v>42842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42856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42917</c:v>
                </c:pt>
                <c:pt idx="252">
                  <c:v>42918</c:v>
                </c:pt>
                <c:pt idx="253">
                  <c:v>42919</c:v>
                </c:pt>
                <c:pt idx="254">
                  <c:v>42920</c:v>
                </c:pt>
                <c:pt idx="255">
                  <c:v>42921</c:v>
                </c:pt>
                <c:pt idx="256">
                  <c:v>42922</c:v>
                </c:pt>
                <c:pt idx="257">
                  <c:v>42923</c:v>
                </c:pt>
                <c:pt idx="258">
                  <c:v>42924</c:v>
                </c:pt>
                <c:pt idx="259">
                  <c:v>42925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42931</c:v>
                </c:pt>
                <c:pt idx="266">
                  <c:v>42932</c:v>
                </c:pt>
                <c:pt idx="267">
                  <c:v>42933</c:v>
                </c:pt>
                <c:pt idx="268">
                  <c:v>42934</c:v>
                </c:pt>
                <c:pt idx="269">
                  <c:v>42935</c:v>
                </c:pt>
                <c:pt idx="270">
                  <c:v>42936</c:v>
                </c:pt>
                <c:pt idx="271">
                  <c:v>42937</c:v>
                </c:pt>
                <c:pt idx="272">
                  <c:v>42938</c:v>
                </c:pt>
              </c:numCache>
            </c:numRef>
          </c:cat>
          <c:val>
            <c:numRef>
              <c:f>Ichimoku!$M$2:$M$274</c:f>
              <c:numCache>
                <c:formatCode>General</c:formatCode>
                <c:ptCount val="273"/>
                <c:pt idx="8">
                  <c:v>96.835000000000008</c:v>
                </c:pt>
                <c:pt idx="9">
                  <c:v>97.25</c:v>
                </c:pt>
                <c:pt idx="10">
                  <c:v>97.875</c:v>
                </c:pt>
                <c:pt idx="11">
                  <c:v>98.254999999999995</c:v>
                </c:pt>
                <c:pt idx="12">
                  <c:v>98.865000000000009</c:v>
                </c:pt>
                <c:pt idx="13">
                  <c:v>98.92</c:v>
                </c:pt>
                <c:pt idx="14">
                  <c:v>98.92</c:v>
                </c:pt>
                <c:pt idx="15">
                  <c:v>98.710000000000008</c:v>
                </c:pt>
                <c:pt idx="16">
                  <c:v>100.38499999999999</c:v>
                </c:pt>
                <c:pt idx="17">
                  <c:v>100.435</c:v>
                </c:pt>
                <c:pt idx="18">
                  <c:v>100.485</c:v>
                </c:pt>
                <c:pt idx="19">
                  <c:v>101.285</c:v>
                </c:pt>
                <c:pt idx="20">
                  <c:v>101.285</c:v>
                </c:pt>
                <c:pt idx="21">
                  <c:v>101.285</c:v>
                </c:pt>
                <c:pt idx="22">
                  <c:v>101.285</c:v>
                </c:pt>
                <c:pt idx="23">
                  <c:v>102.035</c:v>
                </c:pt>
                <c:pt idx="24">
                  <c:v>105.56</c:v>
                </c:pt>
                <c:pt idx="25">
                  <c:v>105.88</c:v>
                </c:pt>
                <c:pt idx="26">
                  <c:v>106.31</c:v>
                </c:pt>
                <c:pt idx="27">
                  <c:v>106.47</c:v>
                </c:pt>
                <c:pt idx="28">
                  <c:v>106.47</c:v>
                </c:pt>
                <c:pt idx="29">
                  <c:v>107.155</c:v>
                </c:pt>
                <c:pt idx="30">
                  <c:v>107.755</c:v>
                </c:pt>
                <c:pt idx="31">
                  <c:v>108.20500000000001</c:v>
                </c:pt>
                <c:pt idx="32">
                  <c:v>108.69499999999999</c:v>
                </c:pt>
                <c:pt idx="33">
                  <c:v>108.995</c:v>
                </c:pt>
                <c:pt idx="34">
                  <c:v>108.995</c:v>
                </c:pt>
                <c:pt idx="35">
                  <c:v>109.005</c:v>
                </c:pt>
                <c:pt idx="36">
                  <c:v>108.95500000000001</c:v>
                </c:pt>
                <c:pt idx="37">
                  <c:v>108.45500000000001</c:v>
                </c:pt>
                <c:pt idx="38">
                  <c:v>108.27000000000001</c:v>
                </c:pt>
                <c:pt idx="39">
                  <c:v>107.99000000000001</c:v>
                </c:pt>
                <c:pt idx="40">
                  <c:v>107.595</c:v>
                </c:pt>
                <c:pt idx="41">
                  <c:v>107.595</c:v>
                </c:pt>
                <c:pt idx="42">
                  <c:v>107.41</c:v>
                </c:pt>
                <c:pt idx="43">
                  <c:v>107.41</c:v>
                </c:pt>
                <c:pt idx="44">
                  <c:v>107.125</c:v>
                </c:pt>
                <c:pt idx="45">
                  <c:v>107.13</c:v>
                </c:pt>
                <c:pt idx="46">
                  <c:v>107</c:v>
                </c:pt>
                <c:pt idx="47">
                  <c:v>105.94499999999999</c:v>
                </c:pt>
                <c:pt idx="48">
                  <c:v>105.64500000000001</c:v>
                </c:pt>
                <c:pt idx="49">
                  <c:v>105.66</c:v>
                </c:pt>
                <c:pt idx="50">
                  <c:v>107.78</c:v>
                </c:pt>
                <c:pt idx="51">
                  <c:v>109.13</c:v>
                </c:pt>
                <c:pt idx="52">
                  <c:v>109.33</c:v>
                </c:pt>
                <c:pt idx="53">
                  <c:v>109.355</c:v>
                </c:pt>
                <c:pt idx="54">
                  <c:v>109.355</c:v>
                </c:pt>
                <c:pt idx="55">
                  <c:v>109.355</c:v>
                </c:pt>
                <c:pt idx="56">
                  <c:v>109.355</c:v>
                </c:pt>
                <c:pt idx="57">
                  <c:v>111.71000000000001</c:v>
                </c:pt>
                <c:pt idx="58">
                  <c:v>112.39</c:v>
                </c:pt>
                <c:pt idx="59">
                  <c:v>113.86500000000001</c:v>
                </c:pt>
                <c:pt idx="60">
                  <c:v>113.86500000000001</c:v>
                </c:pt>
                <c:pt idx="61">
                  <c:v>113.86500000000001</c:v>
                </c:pt>
                <c:pt idx="62">
                  <c:v>113.245</c:v>
                </c:pt>
                <c:pt idx="63">
                  <c:v>113.245</c:v>
                </c:pt>
                <c:pt idx="64">
                  <c:v>113.245</c:v>
                </c:pt>
                <c:pt idx="65">
                  <c:v>113.17</c:v>
                </c:pt>
                <c:pt idx="66">
                  <c:v>113.095</c:v>
                </c:pt>
                <c:pt idx="67">
                  <c:v>113.22</c:v>
                </c:pt>
                <c:pt idx="68">
                  <c:v>114.27500000000001</c:v>
                </c:pt>
                <c:pt idx="69">
                  <c:v>115.245</c:v>
                </c:pt>
                <c:pt idx="70">
                  <c:v>115.245</c:v>
                </c:pt>
                <c:pt idx="71">
                  <c:v>115.485</c:v>
                </c:pt>
                <c:pt idx="72">
                  <c:v>115.66</c:v>
                </c:pt>
                <c:pt idx="73">
                  <c:v>115.69</c:v>
                </c:pt>
                <c:pt idx="74">
                  <c:v>115.91</c:v>
                </c:pt>
                <c:pt idx="75">
                  <c:v>116.1</c:v>
                </c:pt>
                <c:pt idx="76">
                  <c:v>116.245</c:v>
                </c:pt>
                <c:pt idx="77">
                  <c:v>116.245</c:v>
                </c:pt>
                <c:pt idx="78">
                  <c:v>116.005</c:v>
                </c:pt>
                <c:pt idx="79">
                  <c:v>116.08</c:v>
                </c:pt>
                <c:pt idx="80">
                  <c:v>115.83500000000001</c:v>
                </c:pt>
                <c:pt idx="81">
                  <c:v>115.83500000000001</c:v>
                </c:pt>
                <c:pt idx="82">
                  <c:v>115.83500000000001</c:v>
                </c:pt>
                <c:pt idx="83">
                  <c:v>115.78</c:v>
                </c:pt>
                <c:pt idx="84">
                  <c:v>114.44499999999999</c:v>
                </c:pt>
                <c:pt idx="85">
                  <c:v>114.44499999999999</c:v>
                </c:pt>
                <c:pt idx="86">
                  <c:v>113.955</c:v>
                </c:pt>
                <c:pt idx="87">
                  <c:v>113.235</c:v>
                </c:pt>
                <c:pt idx="88">
                  <c:v>111.985</c:v>
                </c:pt>
                <c:pt idx="89">
                  <c:v>111.985</c:v>
                </c:pt>
                <c:pt idx="90">
                  <c:v>111.63</c:v>
                </c:pt>
                <c:pt idx="91">
                  <c:v>110.03</c:v>
                </c:pt>
                <c:pt idx="92">
                  <c:v>109.8</c:v>
                </c:pt>
                <c:pt idx="93">
                  <c:v>108.215</c:v>
                </c:pt>
                <c:pt idx="94">
                  <c:v>107.9</c:v>
                </c:pt>
                <c:pt idx="95">
                  <c:v>107.9</c:v>
                </c:pt>
                <c:pt idx="96">
                  <c:v>107.9</c:v>
                </c:pt>
                <c:pt idx="97">
                  <c:v>107.9</c:v>
                </c:pt>
                <c:pt idx="98">
                  <c:v>108.035</c:v>
                </c:pt>
                <c:pt idx="99">
                  <c:v>108.25</c:v>
                </c:pt>
                <c:pt idx="100">
                  <c:v>108.25</c:v>
                </c:pt>
                <c:pt idx="101">
                  <c:v>108.25</c:v>
                </c:pt>
                <c:pt idx="102">
                  <c:v>109.31215</c:v>
                </c:pt>
                <c:pt idx="103">
                  <c:v>109.5325</c:v>
                </c:pt>
                <c:pt idx="104">
                  <c:v>110.64750000000001</c:v>
                </c:pt>
                <c:pt idx="105">
                  <c:v>110.7475</c:v>
                </c:pt>
                <c:pt idx="106">
                  <c:v>110.6575</c:v>
                </c:pt>
                <c:pt idx="107">
                  <c:v>110.3575</c:v>
                </c:pt>
                <c:pt idx="108">
                  <c:v>110.3575</c:v>
                </c:pt>
                <c:pt idx="109">
                  <c:v>110.3575</c:v>
                </c:pt>
                <c:pt idx="110">
                  <c:v>110.3575</c:v>
                </c:pt>
                <c:pt idx="111">
                  <c:v>111.47499999999999</c:v>
                </c:pt>
                <c:pt idx="112">
                  <c:v>111.625</c:v>
                </c:pt>
                <c:pt idx="113">
                  <c:v>112.08500000000001</c:v>
                </c:pt>
                <c:pt idx="114">
                  <c:v>112.22499999999999</c:v>
                </c:pt>
                <c:pt idx="115">
                  <c:v>112.49000000000001</c:v>
                </c:pt>
                <c:pt idx="116">
                  <c:v>112.94499999999999</c:v>
                </c:pt>
                <c:pt idx="117">
                  <c:v>113.27</c:v>
                </c:pt>
                <c:pt idx="118">
                  <c:v>114.05</c:v>
                </c:pt>
                <c:pt idx="119">
                  <c:v>114.905</c:v>
                </c:pt>
                <c:pt idx="120">
                  <c:v>114.995</c:v>
                </c:pt>
                <c:pt idx="121">
                  <c:v>115.625</c:v>
                </c:pt>
                <c:pt idx="122">
                  <c:v>116.39</c:v>
                </c:pt>
                <c:pt idx="123">
                  <c:v>116.6233</c:v>
                </c:pt>
                <c:pt idx="124">
                  <c:v>116.80330000000001</c:v>
                </c:pt>
                <c:pt idx="125">
                  <c:v>116.72329999999999</c:v>
                </c:pt>
                <c:pt idx="126">
                  <c:v>116.3883</c:v>
                </c:pt>
                <c:pt idx="127">
                  <c:v>116.3883</c:v>
                </c:pt>
                <c:pt idx="128">
                  <c:v>116.3883</c:v>
                </c:pt>
                <c:pt idx="129">
                  <c:v>116.46000000000001</c:v>
                </c:pt>
                <c:pt idx="130">
                  <c:v>117.095</c:v>
                </c:pt>
                <c:pt idx="131">
                  <c:v>117.095</c:v>
                </c:pt>
                <c:pt idx="132">
                  <c:v>117.345</c:v>
                </c:pt>
                <c:pt idx="133">
                  <c:v>117.345</c:v>
                </c:pt>
                <c:pt idx="134">
                  <c:v>117.345</c:v>
                </c:pt>
                <c:pt idx="135">
                  <c:v>117.995</c:v>
                </c:pt>
                <c:pt idx="136">
                  <c:v>118.155</c:v>
                </c:pt>
                <c:pt idx="137">
                  <c:v>118.485</c:v>
                </c:pt>
                <c:pt idx="138">
                  <c:v>119.22</c:v>
                </c:pt>
                <c:pt idx="139">
                  <c:v>119.50999999999999</c:v>
                </c:pt>
                <c:pt idx="140">
                  <c:v>119.50999999999999</c:v>
                </c:pt>
                <c:pt idx="141">
                  <c:v>120.155</c:v>
                </c:pt>
                <c:pt idx="142">
                  <c:v>120.33</c:v>
                </c:pt>
                <c:pt idx="143">
                  <c:v>120.33</c:v>
                </c:pt>
                <c:pt idx="144">
                  <c:v>120.905</c:v>
                </c:pt>
                <c:pt idx="145">
                  <c:v>120.905</c:v>
                </c:pt>
                <c:pt idx="146">
                  <c:v>124.995</c:v>
                </c:pt>
                <c:pt idx="147">
                  <c:v>124.995</c:v>
                </c:pt>
                <c:pt idx="148">
                  <c:v>124.995</c:v>
                </c:pt>
                <c:pt idx="149">
                  <c:v>125.39</c:v>
                </c:pt>
                <c:pt idx="150">
                  <c:v>126.355</c:v>
                </c:pt>
                <c:pt idx="151">
                  <c:v>126.42</c:v>
                </c:pt>
                <c:pt idx="152">
                  <c:v>126.5325</c:v>
                </c:pt>
                <c:pt idx="153">
                  <c:v>126.78</c:v>
                </c:pt>
                <c:pt idx="154">
                  <c:v>130.41499999999999</c:v>
                </c:pt>
                <c:pt idx="155">
                  <c:v>131.435</c:v>
                </c:pt>
                <c:pt idx="156">
                  <c:v>132.215</c:v>
                </c:pt>
                <c:pt idx="157">
                  <c:v>132.58500000000001</c:v>
                </c:pt>
                <c:pt idx="158">
                  <c:v>133.36000000000001</c:v>
                </c:pt>
                <c:pt idx="159">
                  <c:v>133.935</c:v>
                </c:pt>
                <c:pt idx="160">
                  <c:v>134.12</c:v>
                </c:pt>
                <c:pt idx="161">
                  <c:v>134.76499999999999</c:v>
                </c:pt>
                <c:pt idx="162">
                  <c:v>135.11500000000001</c:v>
                </c:pt>
                <c:pt idx="163">
                  <c:v>135.36500000000001</c:v>
                </c:pt>
                <c:pt idx="164">
                  <c:v>136.05000000000001</c:v>
                </c:pt>
                <c:pt idx="165">
                  <c:v>137.4949</c:v>
                </c:pt>
                <c:pt idx="166">
                  <c:v>137.6893</c:v>
                </c:pt>
                <c:pt idx="167">
                  <c:v>137.77930000000001</c:v>
                </c:pt>
                <c:pt idx="168">
                  <c:v>137.77930000000001</c:v>
                </c:pt>
                <c:pt idx="169">
                  <c:v>137.77930000000001</c:v>
                </c:pt>
                <c:pt idx="170">
                  <c:v>137.77930000000001</c:v>
                </c:pt>
                <c:pt idx="171">
                  <c:v>138.27930000000001</c:v>
                </c:pt>
                <c:pt idx="172">
                  <c:v>138.48930000000001</c:v>
                </c:pt>
                <c:pt idx="173">
                  <c:v>138.66430000000003</c:v>
                </c:pt>
                <c:pt idx="174">
                  <c:v>138.66430000000003</c:v>
                </c:pt>
                <c:pt idx="175">
                  <c:v>138.90005000000002</c:v>
                </c:pt>
                <c:pt idx="176">
                  <c:v>139.03500000000003</c:v>
                </c:pt>
                <c:pt idx="177">
                  <c:v>139.03500000000003</c:v>
                </c:pt>
                <c:pt idx="178">
                  <c:v>139.27500000000001</c:v>
                </c:pt>
                <c:pt idx="179">
                  <c:v>139.92500000000001</c:v>
                </c:pt>
                <c:pt idx="180">
                  <c:v>140.72</c:v>
                </c:pt>
                <c:pt idx="181">
                  <c:v>140.81</c:v>
                </c:pt>
                <c:pt idx="182">
                  <c:v>140.82</c:v>
                </c:pt>
                <c:pt idx="183">
                  <c:v>140.71</c:v>
                </c:pt>
                <c:pt idx="184">
                  <c:v>141.32999999999998</c:v>
                </c:pt>
                <c:pt idx="185">
                  <c:v>141.55500000000001</c:v>
                </c:pt>
                <c:pt idx="186">
                  <c:v>141.56</c:v>
                </c:pt>
                <c:pt idx="187">
                  <c:v>141.56</c:v>
                </c:pt>
                <c:pt idx="188">
                  <c:v>141.56</c:v>
                </c:pt>
                <c:pt idx="189">
                  <c:v>141.755</c:v>
                </c:pt>
                <c:pt idx="190">
                  <c:v>142.04000000000002</c:v>
                </c:pt>
                <c:pt idx="191">
                  <c:v>142.04000000000002</c:v>
                </c:pt>
                <c:pt idx="192">
                  <c:v>143.04000000000002</c:v>
                </c:pt>
                <c:pt idx="193">
                  <c:v>144.18</c:v>
                </c:pt>
                <c:pt idx="194">
                  <c:v>142.76</c:v>
                </c:pt>
                <c:pt idx="195">
                  <c:v>142.76</c:v>
                </c:pt>
                <c:pt idx="196">
                  <c:v>142.76</c:v>
                </c:pt>
                <c:pt idx="197">
                  <c:v>142.76</c:v>
                </c:pt>
                <c:pt idx="198">
                  <c:v>142.76</c:v>
                </c:pt>
                <c:pt idx="199">
                  <c:v>142.29000000000002</c:v>
                </c:pt>
                <c:pt idx="200">
                  <c:v>142.12</c:v>
                </c:pt>
                <c:pt idx="201">
                  <c:v>141.96960000000001</c:v>
                </c:pt>
                <c:pt idx="202">
                  <c:v>142.005</c:v>
                </c:pt>
                <c:pt idx="203">
                  <c:v>142.67500000000001</c:v>
                </c:pt>
                <c:pt idx="204">
                  <c:v>142.67500000000001</c:v>
                </c:pt>
                <c:pt idx="205">
                  <c:v>142.67500000000001</c:v>
                </c:pt>
                <c:pt idx="206">
                  <c:v>142.67500000000001</c:v>
                </c:pt>
                <c:pt idx="207">
                  <c:v>143.82499999999999</c:v>
                </c:pt>
                <c:pt idx="208">
                  <c:v>144.625</c:v>
                </c:pt>
                <c:pt idx="209">
                  <c:v>144.97</c:v>
                </c:pt>
                <c:pt idx="210">
                  <c:v>145.63499999999999</c:v>
                </c:pt>
                <c:pt idx="211">
                  <c:v>146.125</c:v>
                </c:pt>
                <c:pt idx="212">
                  <c:v>148.48500000000001</c:v>
                </c:pt>
                <c:pt idx="213">
                  <c:v>149.07499999999999</c:v>
                </c:pt>
                <c:pt idx="214">
                  <c:v>149.07499999999999</c:v>
                </c:pt>
                <c:pt idx="215">
                  <c:v>149.57499999999999</c:v>
                </c:pt>
                <c:pt idx="216">
                  <c:v>150.345</c:v>
                </c:pt>
                <c:pt idx="217">
                  <c:v>150.46</c:v>
                </c:pt>
                <c:pt idx="218">
                  <c:v>151.23000000000002</c:v>
                </c:pt>
                <c:pt idx="219">
                  <c:v>151.70499999999998</c:v>
                </c:pt>
                <c:pt idx="220">
                  <c:v>152.84</c:v>
                </c:pt>
                <c:pt idx="221">
                  <c:v>153.18</c:v>
                </c:pt>
                <c:pt idx="222">
                  <c:v>153.18</c:v>
                </c:pt>
                <c:pt idx="223">
                  <c:v>153.18</c:v>
                </c:pt>
                <c:pt idx="224">
                  <c:v>153.18</c:v>
                </c:pt>
                <c:pt idx="225">
                  <c:v>153.18</c:v>
                </c:pt>
                <c:pt idx="226">
                  <c:v>152.88499999999999</c:v>
                </c:pt>
                <c:pt idx="227">
                  <c:v>152.30500000000001</c:v>
                </c:pt>
                <c:pt idx="228">
                  <c:v>153.01499999999999</c:v>
                </c:pt>
                <c:pt idx="229">
                  <c:v>153.56</c:v>
                </c:pt>
                <c:pt idx="230">
                  <c:v>153.83499999999998</c:v>
                </c:pt>
                <c:pt idx="231">
                  <c:v>153.83499999999998</c:v>
                </c:pt>
                <c:pt idx="232">
                  <c:v>154.01499999999999</c:v>
                </c:pt>
                <c:pt idx="233">
                  <c:v>154.1</c:v>
                </c:pt>
                <c:pt idx="234">
                  <c:v>154.1</c:v>
                </c:pt>
                <c:pt idx="235">
                  <c:v>151</c:v>
                </c:pt>
                <c:pt idx="236">
                  <c:v>149.245</c:v>
                </c:pt>
                <c:pt idx="237">
                  <c:v>149.245</c:v>
                </c:pt>
                <c:pt idx="238">
                  <c:v>149.245</c:v>
                </c:pt>
                <c:pt idx="239">
                  <c:v>149.095</c:v>
                </c:pt>
                <c:pt idx="240">
                  <c:v>149.08999999999997</c:v>
                </c:pt>
                <c:pt idx="241">
                  <c:v>149.08999999999997</c:v>
                </c:pt>
                <c:pt idx="242">
                  <c:v>148.87</c:v>
                </c:pt>
                <c:pt idx="243">
                  <c:v>148.69499999999999</c:v>
                </c:pt>
                <c:pt idx="244">
                  <c:v>144.85</c:v>
                </c:pt>
                <c:pt idx="245">
                  <c:v>144.85</c:v>
                </c:pt>
                <c:pt idx="246">
                  <c:v>145.24</c:v>
                </c:pt>
                <c:pt idx="247">
                  <c:v>145.24</c:v>
                </c:pt>
                <c:pt idx="248">
                  <c:v>145.24</c:v>
                </c:pt>
                <c:pt idx="249">
                  <c:v>145.94999999999999</c:v>
                </c:pt>
                <c:pt idx="250">
                  <c:v>145.94999999999999</c:v>
                </c:pt>
                <c:pt idx="251">
                  <c:v>145.94999999999999</c:v>
                </c:pt>
                <c:pt idx="252">
                  <c:v>145.94999999999999</c:v>
                </c:pt>
                <c:pt idx="253">
                  <c:v>145.94999999999999</c:v>
                </c:pt>
                <c:pt idx="254">
                  <c:v>145.94999999999999</c:v>
                </c:pt>
                <c:pt idx="255">
                  <c:v>144.88999999999999</c:v>
                </c:pt>
              </c:numCache>
            </c:numRef>
          </c:val>
          <c:smooth val="0"/>
        </c:ser>
        <c:ser>
          <c:idx val="5"/>
          <c:order val="3"/>
          <c:tx>
            <c:v>Kijun-Sen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Ichimoku!$C$2:$C$274</c:f>
              <c:numCache>
                <c:formatCode>m/d/yyyy</c:formatCode>
                <c:ptCount val="273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42731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42788</c:v>
                </c:pt>
                <c:pt idx="161">
                  <c:v>42789</c:v>
                </c:pt>
                <c:pt idx="162">
                  <c:v>42790</c:v>
                </c:pt>
                <c:pt idx="163">
                  <c:v>42793</c:v>
                </c:pt>
                <c:pt idx="164">
                  <c:v>42794</c:v>
                </c:pt>
                <c:pt idx="165">
                  <c:v>42795</c:v>
                </c:pt>
                <c:pt idx="166">
                  <c:v>42796</c:v>
                </c:pt>
                <c:pt idx="167">
                  <c:v>42797</c:v>
                </c:pt>
                <c:pt idx="168">
                  <c:v>42800</c:v>
                </c:pt>
                <c:pt idx="169">
                  <c:v>42801</c:v>
                </c:pt>
                <c:pt idx="170">
                  <c:v>42802</c:v>
                </c:pt>
                <c:pt idx="171">
                  <c:v>42803</c:v>
                </c:pt>
                <c:pt idx="172">
                  <c:v>42804</c:v>
                </c:pt>
                <c:pt idx="173">
                  <c:v>42807</c:v>
                </c:pt>
                <c:pt idx="174">
                  <c:v>42808</c:v>
                </c:pt>
                <c:pt idx="175">
                  <c:v>42809</c:v>
                </c:pt>
                <c:pt idx="176">
                  <c:v>42810</c:v>
                </c:pt>
                <c:pt idx="177">
                  <c:v>42811</c:v>
                </c:pt>
                <c:pt idx="178">
                  <c:v>42814</c:v>
                </c:pt>
                <c:pt idx="179">
                  <c:v>42815</c:v>
                </c:pt>
                <c:pt idx="180">
                  <c:v>42816</c:v>
                </c:pt>
                <c:pt idx="181">
                  <c:v>42817</c:v>
                </c:pt>
                <c:pt idx="182">
                  <c:v>42818</c:v>
                </c:pt>
                <c:pt idx="183">
                  <c:v>42821</c:v>
                </c:pt>
                <c:pt idx="184">
                  <c:v>42822</c:v>
                </c:pt>
                <c:pt idx="185">
                  <c:v>42823</c:v>
                </c:pt>
                <c:pt idx="186">
                  <c:v>42824</c:v>
                </c:pt>
                <c:pt idx="187">
                  <c:v>42825</c:v>
                </c:pt>
                <c:pt idx="188">
                  <c:v>42828</c:v>
                </c:pt>
                <c:pt idx="189">
                  <c:v>42829</c:v>
                </c:pt>
                <c:pt idx="190">
                  <c:v>42830</c:v>
                </c:pt>
                <c:pt idx="191">
                  <c:v>42831</c:v>
                </c:pt>
                <c:pt idx="192">
                  <c:v>42832</c:v>
                </c:pt>
                <c:pt idx="193">
                  <c:v>42835</c:v>
                </c:pt>
                <c:pt idx="194">
                  <c:v>42836</c:v>
                </c:pt>
                <c:pt idx="195">
                  <c:v>42837</c:v>
                </c:pt>
                <c:pt idx="196">
                  <c:v>42838</c:v>
                </c:pt>
                <c:pt idx="197">
                  <c:v>42842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42856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42917</c:v>
                </c:pt>
                <c:pt idx="252">
                  <c:v>42918</c:v>
                </c:pt>
                <c:pt idx="253">
                  <c:v>42919</c:v>
                </c:pt>
                <c:pt idx="254">
                  <c:v>42920</c:v>
                </c:pt>
                <c:pt idx="255">
                  <c:v>42921</c:v>
                </c:pt>
                <c:pt idx="256">
                  <c:v>42922</c:v>
                </c:pt>
                <c:pt idx="257">
                  <c:v>42923</c:v>
                </c:pt>
                <c:pt idx="258">
                  <c:v>42924</c:v>
                </c:pt>
                <c:pt idx="259">
                  <c:v>42925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42931</c:v>
                </c:pt>
                <c:pt idx="266">
                  <c:v>42932</c:v>
                </c:pt>
                <c:pt idx="267">
                  <c:v>42933</c:v>
                </c:pt>
                <c:pt idx="268">
                  <c:v>42934</c:v>
                </c:pt>
                <c:pt idx="269">
                  <c:v>42935</c:v>
                </c:pt>
                <c:pt idx="270">
                  <c:v>42936</c:v>
                </c:pt>
                <c:pt idx="271">
                  <c:v>42937</c:v>
                </c:pt>
                <c:pt idx="272">
                  <c:v>42938</c:v>
                </c:pt>
              </c:numCache>
            </c:numRef>
          </c:cat>
          <c:val>
            <c:numRef>
              <c:f>Ichimoku!$N$2:$N$274</c:f>
              <c:numCache>
                <c:formatCode>General</c:formatCode>
                <c:ptCount val="273"/>
                <c:pt idx="51">
                  <c:v>109.13</c:v>
                </c:pt>
                <c:pt idx="52">
                  <c:v>109.33</c:v>
                </c:pt>
                <c:pt idx="53">
                  <c:v>109.355</c:v>
                </c:pt>
                <c:pt idx="54">
                  <c:v>109.355</c:v>
                </c:pt>
                <c:pt idx="55">
                  <c:v>109.355</c:v>
                </c:pt>
                <c:pt idx="56">
                  <c:v>109.355</c:v>
                </c:pt>
                <c:pt idx="57">
                  <c:v>111.71000000000001</c:v>
                </c:pt>
                <c:pt idx="58">
                  <c:v>112.39</c:v>
                </c:pt>
                <c:pt idx="59">
                  <c:v>113.86500000000001</c:v>
                </c:pt>
                <c:pt idx="60">
                  <c:v>113.86500000000001</c:v>
                </c:pt>
                <c:pt idx="61">
                  <c:v>113.86500000000001</c:v>
                </c:pt>
                <c:pt idx="62">
                  <c:v>113.245</c:v>
                </c:pt>
                <c:pt idx="63">
                  <c:v>113.245</c:v>
                </c:pt>
                <c:pt idx="64">
                  <c:v>113.245</c:v>
                </c:pt>
                <c:pt idx="65">
                  <c:v>113.17</c:v>
                </c:pt>
                <c:pt idx="66">
                  <c:v>113.095</c:v>
                </c:pt>
                <c:pt idx="67">
                  <c:v>113.22</c:v>
                </c:pt>
                <c:pt idx="68">
                  <c:v>114.27500000000001</c:v>
                </c:pt>
                <c:pt idx="69">
                  <c:v>115.245</c:v>
                </c:pt>
                <c:pt idx="70">
                  <c:v>115.245</c:v>
                </c:pt>
                <c:pt idx="71">
                  <c:v>115.485</c:v>
                </c:pt>
                <c:pt idx="72">
                  <c:v>115.66</c:v>
                </c:pt>
                <c:pt idx="73">
                  <c:v>115.69</c:v>
                </c:pt>
                <c:pt idx="74">
                  <c:v>115.91</c:v>
                </c:pt>
                <c:pt idx="75">
                  <c:v>116.1</c:v>
                </c:pt>
                <c:pt idx="76">
                  <c:v>116.245</c:v>
                </c:pt>
                <c:pt idx="77">
                  <c:v>116.245</c:v>
                </c:pt>
                <c:pt idx="78">
                  <c:v>116.005</c:v>
                </c:pt>
                <c:pt idx="79">
                  <c:v>116.08</c:v>
                </c:pt>
                <c:pt idx="80">
                  <c:v>115.83500000000001</c:v>
                </c:pt>
                <c:pt idx="81">
                  <c:v>115.83500000000001</c:v>
                </c:pt>
                <c:pt idx="82">
                  <c:v>115.83500000000001</c:v>
                </c:pt>
                <c:pt idx="83">
                  <c:v>115.78</c:v>
                </c:pt>
                <c:pt idx="84">
                  <c:v>114.44499999999999</c:v>
                </c:pt>
                <c:pt idx="85">
                  <c:v>114.44499999999999</c:v>
                </c:pt>
                <c:pt idx="86">
                  <c:v>113.955</c:v>
                </c:pt>
                <c:pt idx="87">
                  <c:v>113.235</c:v>
                </c:pt>
                <c:pt idx="88">
                  <c:v>111.985</c:v>
                </c:pt>
                <c:pt idx="89">
                  <c:v>111.985</c:v>
                </c:pt>
                <c:pt idx="90">
                  <c:v>111.63</c:v>
                </c:pt>
                <c:pt idx="91">
                  <c:v>110.03</c:v>
                </c:pt>
                <c:pt idx="92">
                  <c:v>109.8</c:v>
                </c:pt>
                <c:pt idx="93">
                  <c:v>108.215</c:v>
                </c:pt>
                <c:pt idx="94">
                  <c:v>107.9</c:v>
                </c:pt>
                <c:pt idx="95">
                  <c:v>107.9</c:v>
                </c:pt>
                <c:pt idx="96">
                  <c:v>107.9</c:v>
                </c:pt>
                <c:pt idx="97">
                  <c:v>107.9</c:v>
                </c:pt>
                <c:pt idx="98">
                  <c:v>108.035</c:v>
                </c:pt>
                <c:pt idx="99">
                  <c:v>108.25</c:v>
                </c:pt>
                <c:pt idx="100">
                  <c:v>108.25</c:v>
                </c:pt>
                <c:pt idx="101">
                  <c:v>108.25</c:v>
                </c:pt>
                <c:pt idx="102">
                  <c:v>109.31215</c:v>
                </c:pt>
                <c:pt idx="103">
                  <c:v>109.5325</c:v>
                </c:pt>
                <c:pt idx="104">
                  <c:v>110.64750000000001</c:v>
                </c:pt>
                <c:pt idx="105">
                  <c:v>110.7475</c:v>
                </c:pt>
                <c:pt idx="106">
                  <c:v>110.6575</c:v>
                </c:pt>
                <c:pt idx="107">
                  <c:v>110.3575</c:v>
                </c:pt>
                <c:pt idx="108">
                  <c:v>110.3575</c:v>
                </c:pt>
                <c:pt idx="109">
                  <c:v>110.3575</c:v>
                </c:pt>
                <c:pt idx="110">
                  <c:v>110.3575</c:v>
                </c:pt>
                <c:pt idx="111">
                  <c:v>111.47499999999999</c:v>
                </c:pt>
                <c:pt idx="112">
                  <c:v>111.625</c:v>
                </c:pt>
                <c:pt idx="113">
                  <c:v>112.08500000000001</c:v>
                </c:pt>
                <c:pt idx="114">
                  <c:v>112.22499999999999</c:v>
                </c:pt>
                <c:pt idx="115">
                  <c:v>112.49000000000001</c:v>
                </c:pt>
                <c:pt idx="116">
                  <c:v>112.94499999999999</c:v>
                </c:pt>
                <c:pt idx="117">
                  <c:v>113.27</c:v>
                </c:pt>
                <c:pt idx="118">
                  <c:v>114.05</c:v>
                </c:pt>
                <c:pt idx="119">
                  <c:v>114.905</c:v>
                </c:pt>
                <c:pt idx="120">
                  <c:v>114.995</c:v>
                </c:pt>
                <c:pt idx="121">
                  <c:v>115.625</c:v>
                </c:pt>
                <c:pt idx="122">
                  <c:v>116.39</c:v>
                </c:pt>
                <c:pt idx="123">
                  <c:v>116.6233</c:v>
                </c:pt>
                <c:pt idx="124">
                  <c:v>116.80330000000001</c:v>
                </c:pt>
                <c:pt idx="125">
                  <c:v>116.72329999999999</c:v>
                </c:pt>
                <c:pt idx="126">
                  <c:v>116.3883</c:v>
                </c:pt>
                <c:pt idx="127">
                  <c:v>116.3883</c:v>
                </c:pt>
                <c:pt idx="128">
                  <c:v>116.3883</c:v>
                </c:pt>
                <c:pt idx="129">
                  <c:v>116.46000000000001</c:v>
                </c:pt>
                <c:pt idx="130">
                  <c:v>117.095</c:v>
                </c:pt>
                <c:pt idx="131">
                  <c:v>117.095</c:v>
                </c:pt>
                <c:pt idx="132">
                  <c:v>117.345</c:v>
                </c:pt>
                <c:pt idx="133">
                  <c:v>117.345</c:v>
                </c:pt>
                <c:pt idx="134">
                  <c:v>117.345</c:v>
                </c:pt>
                <c:pt idx="135">
                  <c:v>117.995</c:v>
                </c:pt>
                <c:pt idx="136">
                  <c:v>118.155</c:v>
                </c:pt>
                <c:pt idx="137">
                  <c:v>118.485</c:v>
                </c:pt>
                <c:pt idx="138">
                  <c:v>119.22</c:v>
                </c:pt>
                <c:pt idx="139">
                  <c:v>119.50999999999999</c:v>
                </c:pt>
                <c:pt idx="140">
                  <c:v>119.50999999999999</c:v>
                </c:pt>
                <c:pt idx="141">
                  <c:v>120.155</c:v>
                </c:pt>
                <c:pt idx="142">
                  <c:v>120.33</c:v>
                </c:pt>
                <c:pt idx="143">
                  <c:v>120.33</c:v>
                </c:pt>
                <c:pt idx="144">
                  <c:v>120.905</c:v>
                </c:pt>
                <c:pt idx="145">
                  <c:v>120.905</c:v>
                </c:pt>
                <c:pt idx="146">
                  <c:v>124.995</c:v>
                </c:pt>
                <c:pt idx="147">
                  <c:v>124.995</c:v>
                </c:pt>
                <c:pt idx="148">
                  <c:v>124.995</c:v>
                </c:pt>
                <c:pt idx="149">
                  <c:v>125.39</c:v>
                </c:pt>
                <c:pt idx="150">
                  <c:v>126.355</c:v>
                </c:pt>
                <c:pt idx="151">
                  <c:v>126.42</c:v>
                </c:pt>
                <c:pt idx="152">
                  <c:v>126.5325</c:v>
                </c:pt>
                <c:pt idx="153">
                  <c:v>126.78</c:v>
                </c:pt>
                <c:pt idx="154">
                  <c:v>130.41499999999999</c:v>
                </c:pt>
                <c:pt idx="155">
                  <c:v>131.435</c:v>
                </c:pt>
                <c:pt idx="156">
                  <c:v>132.215</c:v>
                </c:pt>
                <c:pt idx="157">
                  <c:v>132.58500000000001</c:v>
                </c:pt>
                <c:pt idx="158">
                  <c:v>133.36000000000001</c:v>
                </c:pt>
                <c:pt idx="159">
                  <c:v>133.935</c:v>
                </c:pt>
                <c:pt idx="160">
                  <c:v>134.12</c:v>
                </c:pt>
                <c:pt idx="161">
                  <c:v>134.76499999999999</c:v>
                </c:pt>
                <c:pt idx="162">
                  <c:v>135.11500000000001</c:v>
                </c:pt>
                <c:pt idx="163">
                  <c:v>135.36500000000001</c:v>
                </c:pt>
                <c:pt idx="164">
                  <c:v>136.05000000000001</c:v>
                </c:pt>
                <c:pt idx="165">
                  <c:v>137.4949</c:v>
                </c:pt>
                <c:pt idx="166">
                  <c:v>137.6893</c:v>
                </c:pt>
                <c:pt idx="167">
                  <c:v>137.77930000000001</c:v>
                </c:pt>
                <c:pt idx="168">
                  <c:v>137.77930000000001</c:v>
                </c:pt>
                <c:pt idx="169">
                  <c:v>137.77930000000001</c:v>
                </c:pt>
                <c:pt idx="170">
                  <c:v>137.77930000000001</c:v>
                </c:pt>
                <c:pt idx="171">
                  <c:v>138.27930000000001</c:v>
                </c:pt>
                <c:pt idx="172">
                  <c:v>138.48930000000001</c:v>
                </c:pt>
                <c:pt idx="173">
                  <c:v>138.66430000000003</c:v>
                </c:pt>
                <c:pt idx="174">
                  <c:v>138.66430000000003</c:v>
                </c:pt>
                <c:pt idx="175">
                  <c:v>138.90005000000002</c:v>
                </c:pt>
                <c:pt idx="176">
                  <c:v>139.03500000000003</c:v>
                </c:pt>
                <c:pt idx="177">
                  <c:v>139.03500000000003</c:v>
                </c:pt>
                <c:pt idx="178">
                  <c:v>139.27500000000001</c:v>
                </c:pt>
                <c:pt idx="179">
                  <c:v>139.92500000000001</c:v>
                </c:pt>
                <c:pt idx="180">
                  <c:v>140.72</c:v>
                </c:pt>
                <c:pt idx="181">
                  <c:v>140.81</c:v>
                </c:pt>
                <c:pt idx="182">
                  <c:v>140.82</c:v>
                </c:pt>
                <c:pt idx="183">
                  <c:v>140.71</c:v>
                </c:pt>
                <c:pt idx="184">
                  <c:v>141.32999999999998</c:v>
                </c:pt>
                <c:pt idx="185">
                  <c:v>141.55500000000001</c:v>
                </c:pt>
                <c:pt idx="186">
                  <c:v>141.56</c:v>
                </c:pt>
                <c:pt idx="187">
                  <c:v>141.56</c:v>
                </c:pt>
                <c:pt idx="188">
                  <c:v>141.56</c:v>
                </c:pt>
                <c:pt idx="189">
                  <c:v>141.755</c:v>
                </c:pt>
                <c:pt idx="190">
                  <c:v>142.04000000000002</c:v>
                </c:pt>
                <c:pt idx="191">
                  <c:v>142.04000000000002</c:v>
                </c:pt>
                <c:pt idx="192">
                  <c:v>143.04000000000002</c:v>
                </c:pt>
                <c:pt idx="193">
                  <c:v>144.18</c:v>
                </c:pt>
                <c:pt idx="194">
                  <c:v>142.76</c:v>
                </c:pt>
                <c:pt idx="195">
                  <c:v>142.76</c:v>
                </c:pt>
                <c:pt idx="196">
                  <c:v>142.76</c:v>
                </c:pt>
                <c:pt idx="197">
                  <c:v>142.76</c:v>
                </c:pt>
                <c:pt idx="198">
                  <c:v>142.76</c:v>
                </c:pt>
                <c:pt idx="199">
                  <c:v>142.29000000000002</c:v>
                </c:pt>
                <c:pt idx="200">
                  <c:v>142.12</c:v>
                </c:pt>
                <c:pt idx="201">
                  <c:v>141.96960000000001</c:v>
                </c:pt>
                <c:pt idx="202">
                  <c:v>142.005</c:v>
                </c:pt>
                <c:pt idx="203">
                  <c:v>142.67500000000001</c:v>
                </c:pt>
                <c:pt idx="204">
                  <c:v>142.67500000000001</c:v>
                </c:pt>
                <c:pt idx="205">
                  <c:v>142.67500000000001</c:v>
                </c:pt>
                <c:pt idx="206">
                  <c:v>142.67500000000001</c:v>
                </c:pt>
                <c:pt idx="207">
                  <c:v>143.82499999999999</c:v>
                </c:pt>
                <c:pt idx="208">
                  <c:v>144.625</c:v>
                </c:pt>
                <c:pt idx="209">
                  <c:v>144.97</c:v>
                </c:pt>
                <c:pt idx="210">
                  <c:v>145.63499999999999</c:v>
                </c:pt>
                <c:pt idx="211">
                  <c:v>146.125</c:v>
                </c:pt>
                <c:pt idx="212">
                  <c:v>148.48500000000001</c:v>
                </c:pt>
                <c:pt idx="213">
                  <c:v>149.07499999999999</c:v>
                </c:pt>
                <c:pt idx="214">
                  <c:v>149.07499999999999</c:v>
                </c:pt>
                <c:pt idx="215">
                  <c:v>149.57499999999999</c:v>
                </c:pt>
                <c:pt idx="216">
                  <c:v>150.345</c:v>
                </c:pt>
                <c:pt idx="217">
                  <c:v>150.46</c:v>
                </c:pt>
                <c:pt idx="218">
                  <c:v>151.23000000000002</c:v>
                </c:pt>
                <c:pt idx="219">
                  <c:v>151.70499999999998</c:v>
                </c:pt>
                <c:pt idx="220">
                  <c:v>152.84</c:v>
                </c:pt>
                <c:pt idx="221">
                  <c:v>153.18</c:v>
                </c:pt>
                <c:pt idx="222">
                  <c:v>153.18</c:v>
                </c:pt>
                <c:pt idx="223">
                  <c:v>153.18</c:v>
                </c:pt>
                <c:pt idx="224">
                  <c:v>153.18</c:v>
                </c:pt>
                <c:pt idx="225">
                  <c:v>153.18</c:v>
                </c:pt>
                <c:pt idx="226">
                  <c:v>152.88499999999999</c:v>
                </c:pt>
                <c:pt idx="227">
                  <c:v>152.30500000000001</c:v>
                </c:pt>
                <c:pt idx="228">
                  <c:v>153.01499999999999</c:v>
                </c:pt>
                <c:pt idx="229">
                  <c:v>153.56</c:v>
                </c:pt>
                <c:pt idx="230">
                  <c:v>153.83499999999998</c:v>
                </c:pt>
                <c:pt idx="231">
                  <c:v>153.83499999999998</c:v>
                </c:pt>
                <c:pt idx="232">
                  <c:v>154.01499999999999</c:v>
                </c:pt>
                <c:pt idx="233">
                  <c:v>154.1</c:v>
                </c:pt>
                <c:pt idx="234">
                  <c:v>154.1</c:v>
                </c:pt>
                <c:pt idx="235">
                  <c:v>151</c:v>
                </c:pt>
                <c:pt idx="236">
                  <c:v>149.245</c:v>
                </c:pt>
                <c:pt idx="237">
                  <c:v>149.245</c:v>
                </c:pt>
                <c:pt idx="238">
                  <c:v>149.245</c:v>
                </c:pt>
                <c:pt idx="239">
                  <c:v>149.095</c:v>
                </c:pt>
                <c:pt idx="240">
                  <c:v>149.08999999999997</c:v>
                </c:pt>
                <c:pt idx="241">
                  <c:v>149.08999999999997</c:v>
                </c:pt>
                <c:pt idx="242">
                  <c:v>148.87</c:v>
                </c:pt>
                <c:pt idx="243">
                  <c:v>148.69499999999999</c:v>
                </c:pt>
                <c:pt idx="244">
                  <c:v>144.85</c:v>
                </c:pt>
                <c:pt idx="245">
                  <c:v>144.85</c:v>
                </c:pt>
                <c:pt idx="246">
                  <c:v>145.24</c:v>
                </c:pt>
                <c:pt idx="247">
                  <c:v>145.24</c:v>
                </c:pt>
                <c:pt idx="248">
                  <c:v>145.24</c:v>
                </c:pt>
                <c:pt idx="249">
                  <c:v>145.94999999999999</c:v>
                </c:pt>
                <c:pt idx="250">
                  <c:v>145.94999999999999</c:v>
                </c:pt>
                <c:pt idx="251">
                  <c:v>145.94999999999999</c:v>
                </c:pt>
                <c:pt idx="252">
                  <c:v>145.94999999999999</c:v>
                </c:pt>
                <c:pt idx="253">
                  <c:v>145.94999999999999</c:v>
                </c:pt>
                <c:pt idx="254">
                  <c:v>145.94999999999999</c:v>
                </c:pt>
                <c:pt idx="255">
                  <c:v>144.88999999999999</c:v>
                </c:pt>
              </c:numCache>
            </c:numRef>
          </c:val>
          <c:smooth val="0"/>
        </c:ser>
        <c:ser>
          <c:idx val="1"/>
          <c:order val="4"/>
          <c:tx>
            <c:v>Chikou Lag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Ichimoku!$C$2:$C$274</c:f>
              <c:numCache>
                <c:formatCode>m/d/yyyy</c:formatCode>
                <c:ptCount val="273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42731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42788</c:v>
                </c:pt>
                <c:pt idx="161">
                  <c:v>42789</c:v>
                </c:pt>
                <c:pt idx="162">
                  <c:v>42790</c:v>
                </c:pt>
                <c:pt idx="163">
                  <c:v>42793</c:v>
                </c:pt>
                <c:pt idx="164">
                  <c:v>42794</c:v>
                </c:pt>
                <c:pt idx="165">
                  <c:v>42795</c:v>
                </c:pt>
                <c:pt idx="166">
                  <c:v>42796</c:v>
                </c:pt>
                <c:pt idx="167">
                  <c:v>42797</c:v>
                </c:pt>
                <c:pt idx="168">
                  <c:v>42800</c:v>
                </c:pt>
                <c:pt idx="169">
                  <c:v>42801</c:v>
                </c:pt>
                <c:pt idx="170">
                  <c:v>42802</c:v>
                </c:pt>
                <c:pt idx="171">
                  <c:v>42803</c:v>
                </c:pt>
                <c:pt idx="172">
                  <c:v>42804</c:v>
                </c:pt>
                <c:pt idx="173">
                  <c:v>42807</c:v>
                </c:pt>
                <c:pt idx="174">
                  <c:v>42808</c:v>
                </c:pt>
                <c:pt idx="175">
                  <c:v>42809</c:v>
                </c:pt>
                <c:pt idx="176">
                  <c:v>42810</c:v>
                </c:pt>
                <c:pt idx="177">
                  <c:v>42811</c:v>
                </c:pt>
                <c:pt idx="178">
                  <c:v>42814</c:v>
                </c:pt>
                <c:pt idx="179">
                  <c:v>42815</c:v>
                </c:pt>
                <c:pt idx="180">
                  <c:v>42816</c:v>
                </c:pt>
                <c:pt idx="181">
                  <c:v>42817</c:v>
                </c:pt>
                <c:pt idx="182">
                  <c:v>42818</c:v>
                </c:pt>
                <c:pt idx="183">
                  <c:v>42821</c:v>
                </c:pt>
                <c:pt idx="184">
                  <c:v>42822</c:v>
                </c:pt>
                <c:pt idx="185">
                  <c:v>42823</c:v>
                </c:pt>
                <c:pt idx="186">
                  <c:v>42824</c:v>
                </c:pt>
                <c:pt idx="187">
                  <c:v>42825</c:v>
                </c:pt>
                <c:pt idx="188">
                  <c:v>42828</c:v>
                </c:pt>
                <c:pt idx="189">
                  <c:v>42829</c:v>
                </c:pt>
                <c:pt idx="190">
                  <c:v>42830</c:v>
                </c:pt>
                <c:pt idx="191">
                  <c:v>42831</c:v>
                </c:pt>
                <c:pt idx="192">
                  <c:v>42832</c:v>
                </c:pt>
                <c:pt idx="193">
                  <c:v>42835</c:v>
                </c:pt>
                <c:pt idx="194">
                  <c:v>42836</c:v>
                </c:pt>
                <c:pt idx="195">
                  <c:v>42837</c:v>
                </c:pt>
                <c:pt idx="196">
                  <c:v>42838</c:v>
                </c:pt>
                <c:pt idx="197">
                  <c:v>42842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42856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42917</c:v>
                </c:pt>
                <c:pt idx="252">
                  <c:v>42918</c:v>
                </c:pt>
                <c:pt idx="253">
                  <c:v>42919</c:v>
                </c:pt>
                <c:pt idx="254">
                  <c:v>42920</c:v>
                </c:pt>
                <c:pt idx="255">
                  <c:v>42921</c:v>
                </c:pt>
                <c:pt idx="256">
                  <c:v>42922</c:v>
                </c:pt>
                <c:pt idx="257">
                  <c:v>42923</c:v>
                </c:pt>
                <c:pt idx="258">
                  <c:v>42924</c:v>
                </c:pt>
                <c:pt idx="259">
                  <c:v>42925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42931</c:v>
                </c:pt>
                <c:pt idx="266">
                  <c:v>42932</c:v>
                </c:pt>
                <c:pt idx="267">
                  <c:v>42933</c:v>
                </c:pt>
                <c:pt idx="268">
                  <c:v>42934</c:v>
                </c:pt>
                <c:pt idx="269">
                  <c:v>42935</c:v>
                </c:pt>
                <c:pt idx="270">
                  <c:v>42936</c:v>
                </c:pt>
                <c:pt idx="271">
                  <c:v>42937</c:v>
                </c:pt>
                <c:pt idx="272">
                  <c:v>42938</c:v>
                </c:pt>
              </c:numCache>
            </c:numRef>
          </c:cat>
          <c:val>
            <c:numRef>
              <c:f>Ichimoku!$Q$2:$Q$274</c:f>
              <c:numCache>
                <c:formatCode>General</c:formatCode>
                <c:ptCount val="273"/>
                <c:pt idx="25">
                  <c:v>94.99</c:v>
                </c:pt>
                <c:pt idx="26">
                  <c:v>95.53</c:v>
                </c:pt>
                <c:pt idx="27">
                  <c:v>95.94</c:v>
                </c:pt>
                <c:pt idx="28">
                  <c:v>96.68</c:v>
                </c:pt>
                <c:pt idx="29">
                  <c:v>96.98</c:v>
                </c:pt>
                <c:pt idx="30">
                  <c:v>97.42</c:v>
                </c:pt>
                <c:pt idx="31">
                  <c:v>96.87</c:v>
                </c:pt>
                <c:pt idx="32">
                  <c:v>98.79</c:v>
                </c:pt>
                <c:pt idx="33">
                  <c:v>98.78</c:v>
                </c:pt>
                <c:pt idx="34">
                  <c:v>99.83</c:v>
                </c:pt>
                <c:pt idx="35">
                  <c:v>99.87</c:v>
                </c:pt>
                <c:pt idx="36">
                  <c:v>99.96</c:v>
                </c:pt>
                <c:pt idx="37">
                  <c:v>99.43</c:v>
                </c:pt>
                <c:pt idx="38">
                  <c:v>98.66</c:v>
                </c:pt>
                <c:pt idx="39">
                  <c:v>97.34</c:v>
                </c:pt>
                <c:pt idx="40">
                  <c:v>96.67</c:v>
                </c:pt>
                <c:pt idx="41">
                  <c:v>102.95</c:v>
                </c:pt>
                <c:pt idx="42">
                  <c:v>104.34</c:v>
                </c:pt>
                <c:pt idx="43">
                  <c:v>104.21</c:v>
                </c:pt>
                <c:pt idx="44">
                  <c:v>106.05</c:v>
                </c:pt>
                <c:pt idx="45">
                  <c:v>104.48</c:v>
                </c:pt>
                <c:pt idx="46">
                  <c:v>105.79</c:v>
                </c:pt>
                <c:pt idx="47">
                  <c:v>105.87</c:v>
                </c:pt>
                <c:pt idx="48">
                  <c:v>107.48</c:v>
                </c:pt>
                <c:pt idx="49">
                  <c:v>108.37</c:v>
                </c:pt>
                <c:pt idx="50">
                  <c:v>108.81</c:v>
                </c:pt>
                <c:pt idx="51">
                  <c:v>108</c:v>
                </c:pt>
                <c:pt idx="52">
                  <c:v>107.93</c:v>
                </c:pt>
                <c:pt idx="53">
                  <c:v>108.18</c:v>
                </c:pt>
                <c:pt idx="54">
                  <c:v>109.48</c:v>
                </c:pt>
                <c:pt idx="55">
                  <c:v>109.38</c:v>
                </c:pt>
                <c:pt idx="56">
                  <c:v>109.22</c:v>
                </c:pt>
                <c:pt idx="57">
                  <c:v>109.08</c:v>
                </c:pt>
                <c:pt idx="58">
                  <c:v>109.36</c:v>
                </c:pt>
                <c:pt idx="59">
                  <c:v>108.51</c:v>
                </c:pt>
                <c:pt idx="60">
                  <c:v>108.85</c:v>
                </c:pt>
                <c:pt idx="61">
                  <c:v>108.03</c:v>
                </c:pt>
                <c:pt idx="62">
                  <c:v>107.57</c:v>
                </c:pt>
                <c:pt idx="63">
                  <c:v>106.94</c:v>
                </c:pt>
                <c:pt idx="64">
                  <c:v>106.82</c:v>
                </c:pt>
                <c:pt idx="65">
                  <c:v>106</c:v>
                </c:pt>
                <c:pt idx="66">
                  <c:v>106.1</c:v>
                </c:pt>
                <c:pt idx="67">
                  <c:v>106.73</c:v>
                </c:pt>
                <c:pt idx="68">
                  <c:v>107.73</c:v>
                </c:pt>
                <c:pt idx="69">
                  <c:v>107.7</c:v>
                </c:pt>
                <c:pt idx="70">
                  <c:v>108.36</c:v>
                </c:pt>
                <c:pt idx="71">
                  <c:v>105.52</c:v>
                </c:pt>
                <c:pt idx="72">
                  <c:v>103.13</c:v>
                </c:pt>
                <c:pt idx="73">
                  <c:v>105.44</c:v>
                </c:pt>
                <c:pt idx="74">
                  <c:v>107.95</c:v>
                </c:pt>
                <c:pt idx="75">
                  <c:v>111.77</c:v>
                </c:pt>
                <c:pt idx="76">
                  <c:v>115.57</c:v>
                </c:pt>
                <c:pt idx="77">
                  <c:v>114.92</c:v>
                </c:pt>
                <c:pt idx="78">
                  <c:v>113.58</c:v>
                </c:pt>
                <c:pt idx="79">
                  <c:v>113.57</c:v>
                </c:pt>
                <c:pt idx="80">
                  <c:v>113.55</c:v>
                </c:pt>
                <c:pt idx="81">
                  <c:v>114.62</c:v>
                </c:pt>
                <c:pt idx="82">
                  <c:v>112.71</c:v>
                </c:pt>
                <c:pt idx="83">
                  <c:v>112.88</c:v>
                </c:pt>
                <c:pt idx="84">
                  <c:v>113.09</c:v>
                </c:pt>
                <c:pt idx="85">
                  <c:v>113.95</c:v>
                </c:pt>
                <c:pt idx="86">
                  <c:v>112.18</c:v>
                </c:pt>
                <c:pt idx="87">
                  <c:v>113.05</c:v>
                </c:pt>
                <c:pt idx="88">
                  <c:v>112.52</c:v>
                </c:pt>
                <c:pt idx="89">
                  <c:v>113</c:v>
                </c:pt>
                <c:pt idx="90">
                  <c:v>113.05</c:v>
                </c:pt>
                <c:pt idx="91">
                  <c:v>113.89</c:v>
                </c:pt>
                <c:pt idx="92">
                  <c:v>114.06</c:v>
                </c:pt>
                <c:pt idx="93">
                  <c:v>116.05</c:v>
                </c:pt>
                <c:pt idx="94">
                  <c:v>116.3</c:v>
                </c:pt>
                <c:pt idx="95">
                  <c:v>117.34</c:v>
                </c:pt>
                <c:pt idx="96">
                  <c:v>116.98</c:v>
                </c:pt>
                <c:pt idx="97">
                  <c:v>117.63</c:v>
                </c:pt>
                <c:pt idx="98">
                  <c:v>117.55</c:v>
                </c:pt>
                <c:pt idx="99">
                  <c:v>117.47</c:v>
                </c:pt>
                <c:pt idx="100">
                  <c:v>117.12</c:v>
                </c:pt>
                <c:pt idx="101">
                  <c:v>117.06</c:v>
                </c:pt>
                <c:pt idx="102">
                  <c:v>116.6</c:v>
                </c:pt>
                <c:pt idx="103">
                  <c:v>117.65</c:v>
                </c:pt>
                <c:pt idx="104">
                  <c:v>118.25</c:v>
                </c:pt>
                <c:pt idx="105">
                  <c:v>115.59</c:v>
                </c:pt>
                <c:pt idx="106">
                  <c:v>114.48</c:v>
                </c:pt>
                <c:pt idx="107">
                  <c:v>113.72</c:v>
                </c:pt>
                <c:pt idx="108">
                  <c:v>113.54</c:v>
                </c:pt>
                <c:pt idx="109">
                  <c:v>111.49</c:v>
                </c:pt>
                <c:pt idx="110">
                  <c:v>111.59</c:v>
                </c:pt>
                <c:pt idx="111">
                  <c:v>109.83</c:v>
                </c:pt>
                <c:pt idx="112">
                  <c:v>108.84</c:v>
                </c:pt>
                <c:pt idx="113">
                  <c:v>110.41</c:v>
                </c:pt>
                <c:pt idx="114">
                  <c:v>111.06</c:v>
                </c:pt>
                <c:pt idx="115">
                  <c:v>110.88</c:v>
                </c:pt>
                <c:pt idx="116">
                  <c:v>107.79</c:v>
                </c:pt>
                <c:pt idx="117">
                  <c:v>108.43</c:v>
                </c:pt>
                <c:pt idx="118">
                  <c:v>105.71</c:v>
                </c:pt>
                <c:pt idx="119">
                  <c:v>107.11</c:v>
                </c:pt>
                <c:pt idx="120">
                  <c:v>109.99</c:v>
                </c:pt>
                <c:pt idx="121">
                  <c:v>109.95</c:v>
                </c:pt>
                <c:pt idx="122">
                  <c:v>110.06</c:v>
                </c:pt>
                <c:pt idx="123">
                  <c:v>111.73</c:v>
                </c:pt>
                <c:pt idx="124">
                  <c:v>111.8</c:v>
                </c:pt>
                <c:pt idx="125">
                  <c:v>111.23</c:v>
                </c:pt>
                <c:pt idx="126">
                  <c:v>111.79</c:v>
                </c:pt>
                <c:pt idx="127">
                  <c:v>111.57</c:v>
                </c:pt>
                <c:pt idx="128">
                  <c:v>111.46</c:v>
                </c:pt>
                <c:pt idx="129">
                  <c:v>110.52</c:v>
                </c:pt>
                <c:pt idx="130">
                  <c:v>109.49</c:v>
                </c:pt>
                <c:pt idx="131">
                  <c:v>109.9</c:v>
                </c:pt>
                <c:pt idx="132">
                  <c:v>109.11</c:v>
                </c:pt>
                <c:pt idx="133">
                  <c:v>109.95</c:v>
                </c:pt>
                <c:pt idx="134">
                  <c:v>111.03</c:v>
                </c:pt>
                <c:pt idx="135">
                  <c:v>112.12</c:v>
                </c:pt>
                <c:pt idx="136">
                  <c:v>113.95</c:v>
                </c:pt>
                <c:pt idx="137">
                  <c:v>113.3</c:v>
                </c:pt>
                <c:pt idx="138">
                  <c:v>115.19</c:v>
                </c:pt>
                <c:pt idx="139">
                  <c:v>115.19</c:v>
                </c:pt>
                <c:pt idx="140">
                  <c:v>115.82</c:v>
                </c:pt>
                <c:pt idx="141">
                  <c:v>115.97</c:v>
                </c:pt>
                <c:pt idx="142">
                  <c:v>116.64</c:v>
                </c:pt>
                <c:pt idx="143">
                  <c:v>116.95</c:v>
                </c:pt>
                <c:pt idx="144">
                  <c:v>117.06</c:v>
                </c:pt>
                <c:pt idx="145">
                  <c:v>116.29</c:v>
                </c:pt>
                <c:pt idx="146">
                  <c:v>116.52</c:v>
                </c:pt>
                <c:pt idx="147">
                  <c:v>117.26</c:v>
                </c:pt>
                <c:pt idx="148">
                  <c:v>116.76</c:v>
                </c:pt>
                <c:pt idx="149">
                  <c:v>116.73</c:v>
                </c:pt>
                <c:pt idx="150">
                  <c:v>115.82</c:v>
                </c:pt>
                <c:pt idx="151">
                  <c:v>116.15</c:v>
                </c:pt>
                <c:pt idx="152">
                  <c:v>116.02</c:v>
                </c:pt>
                <c:pt idx="153">
                  <c:v>116.61</c:v>
                </c:pt>
                <c:pt idx="154">
                  <c:v>117.91</c:v>
                </c:pt>
                <c:pt idx="155">
                  <c:v>118.99</c:v>
                </c:pt>
                <c:pt idx="156">
                  <c:v>119.11</c:v>
                </c:pt>
                <c:pt idx="157">
                  <c:v>119.75</c:v>
                </c:pt>
                <c:pt idx="158">
                  <c:v>119.25</c:v>
                </c:pt>
                <c:pt idx="159">
                  <c:v>119.04</c:v>
                </c:pt>
                <c:pt idx="160">
                  <c:v>120</c:v>
                </c:pt>
                <c:pt idx="161">
                  <c:v>119.99</c:v>
                </c:pt>
                <c:pt idx="162">
                  <c:v>119.78</c:v>
                </c:pt>
                <c:pt idx="163">
                  <c:v>120</c:v>
                </c:pt>
                <c:pt idx="164">
                  <c:v>120.08</c:v>
                </c:pt>
                <c:pt idx="165">
                  <c:v>119.97</c:v>
                </c:pt>
                <c:pt idx="166">
                  <c:v>121.88</c:v>
                </c:pt>
                <c:pt idx="167">
                  <c:v>121.94</c:v>
                </c:pt>
                <c:pt idx="168">
                  <c:v>121.95</c:v>
                </c:pt>
                <c:pt idx="169">
                  <c:v>121.63</c:v>
                </c:pt>
                <c:pt idx="170">
                  <c:v>121.35</c:v>
                </c:pt>
                <c:pt idx="171">
                  <c:v>128.75</c:v>
                </c:pt>
                <c:pt idx="172">
                  <c:v>128.53</c:v>
                </c:pt>
                <c:pt idx="173">
                  <c:v>129.08000000000001</c:v>
                </c:pt>
                <c:pt idx="174">
                  <c:v>130.29</c:v>
                </c:pt>
                <c:pt idx="175">
                  <c:v>131.53</c:v>
                </c:pt>
                <c:pt idx="176">
                  <c:v>132.04</c:v>
                </c:pt>
                <c:pt idx="177">
                  <c:v>132.41999999999999</c:v>
                </c:pt>
                <c:pt idx="178">
                  <c:v>132.12</c:v>
                </c:pt>
                <c:pt idx="179">
                  <c:v>133.29</c:v>
                </c:pt>
                <c:pt idx="180">
                  <c:v>135.02000000000001</c:v>
                </c:pt>
                <c:pt idx="181">
                  <c:v>135.51</c:v>
                </c:pt>
                <c:pt idx="182">
                  <c:v>135.345</c:v>
                </c:pt>
                <c:pt idx="183">
                  <c:v>135.72</c:v>
                </c:pt>
                <c:pt idx="184">
                  <c:v>136.69999999999999</c:v>
                </c:pt>
                <c:pt idx="185">
                  <c:v>137.11000000000001</c:v>
                </c:pt>
                <c:pt idx="186">
                  <c:v>136.53</c:v>
                </c:pt>
                <c:pt idx="187">
                  <c:v>136.66</c:v>
                </c:pt>
                <c:pt idx="188">
                  <c:v>136.93</c:v>
                </c:pt>
                <c:pt idx="189">
                  <c:v>136.99</c:v>
                </c:pt>
                <c:pt idx="190">
                  <c:v>139.79</c:v>
                </c:pt>
                <c:pt idx="191">
                  <c:v>138.96</c:v>
                </c:pt>
                <c:pt idx="192">
                  <c:v>139.78</c:v>
                </c:pt>
                <c:pt idx="193">
                  <c:v>139.34</c:v>
                </c:pt>
                <c:pt idx="194">
                  <c:v>139.52000000000001</c:v>
                </c:pt>
                <c:pt idx="195">
                  <c:v>139</c:v>
                </c:pt>
                <c:pt idx="196">
                  <c:v>138.68</c:v>
                </c:pt>
                <c:pt idx="197">
                  <c:v>139.13999999999999</c:v>
                </c:pt>
                <c:pt idx="198">
                  <c:v>139.19999999999999</c:v>
                </c:pt>
                <c:pt idx="199">
                  <c:v>138.99</c:v>
                </c:pt>
                <c:pt idx="200">
                  <c:v>140.46</c:v>
                </c:pt>
                <c:pt idx="201">
                  <c:v>140.69</c:v>
                </c:pt>
                <c:pt idx="202">
                  <c:v>139.99</c:v>
                </c:pt>
                <c:pt idx="203">
                  <c:v>141.46</c:v>
                </c:pt>
                <c:pt idx="204">
                  <c:v>139.84</c:v>
                </c:pt>
                <c:pt idx="205">
                  <c:v>141.41999999999999</c:v>
                </c:pt>
                <c:pt idx="206">
                  <c:v>140.91999999999999</c:v>
                </c:pt>
                <c:pt idx="207">
                  <c:v>140.63999999999999</c:v>
                </c:pt>
                <c:pt idx="208">
                  <c:v>140.88</c:v>
                </c:pt>
                <c:pt idx="209">
                  <c:v>143.80000000000001</c:v>
                </c:pt>
                <c:pt idx="210">
                  <c:v>144.12</c:v>
                </c:pt>
                <c:pt idx="211">
                  <c:v>143.93</c:v>
                </c:pt>
                <c:pt idx="212">
                  <c:v>143.66</c:v>
                </c:pt>
                <c:pt idx="213">
                  <c:v>143.69999999999999</c:v>
                </c:pt>
                <c:pt idx="214">
                  <c:v>144.77000000000001</c:v>
                </c:pt>
                <c:pt idx="215">
                  <c:v>144.02000000000001</c:v>
                </c:pt>
                <c:pt idx="216">
                  <c:v>143.66</c:v>
                </c:pt>
                <c:pt idx="217">
                  <c:v>143.34</c:v>
                </c:pt>
                <c:pt idx="218">
                  <c:v>143.16999999999999</c:v>
                </c:pt>
                <c:pt idx="219">
                  <c:v>141.63</c:v>
                </c:pt>
                <c:pt idx="220">
                  <c:v>141.80000000000001</c:v>
                </c:pt>
                <c:pt idx="221">
                  <c:v>141.05000000000001</c:v>
                </c:pt>
                <c:pt idx="222">
                  <c:v>141.83000000000001</c:v>
                </c:pt>
                <c:pt idx="223">
                  <c:v>141.19999999999999</c:v>
                </c:pt>
                <c:pt idx="224">
                  <c:v>140.68</c:v>
                </c:pt>
                <c:pt idx="225">
                  <c:v>142.44</c:v>
                </c:pt>
                <c:pt idx="226">
                  <c:v>142.27000000000001</c:v>
                </c:pt>
                <c:pt idx="227">
                  <c:v>143.63999999999999</c:v>
                </c:pt>
                <c:pt idx="228">
                  <c:v>144.54</c:v>
                </c:pt>
                <c:pt idx="229">
                  <c:v>143.6508</c:v>
                </c:pt>
                <c:pt idx="230">
                  <c:v>143.79</c:v>
                </c:pt>
                <c:pt idx="231">
                  <c:v>143.65</c:v>
                </c:pt>
                <c:pt idx="232">
                  <c:v>146.6</c:v>
                </c:pt>
                <c:pt idx="233">
                  <c:v>147.51</c:v>
                </c:pt>
                <c:pt idx="234">
                  <c:v>147.06</c:v>
                </c:pt>
                <c:pt idx="235">
                  <c:v>146.53</c:v>
                </c:pt>
                <c:pt idx="236">
                  <c:v>148.96</c:v>
                </c:pt>
                <c:pt idx="237">
                  <c:v>153</c:v>
                </c:pt>
                <c:pt idx="238">
                  <c:v>153.96</c:v>
                </c:pt>
                <c:pt idx="239">
                  <c:v>153.26</c:v>
                </c:pt>
                <c:pt idx="240">
                  <c:v>153.94999999999999</c:v>
                </c:pt>
                <c:pt idx="241">
                  <c:v>156.1</c:v>
                </c:pt>
                <c:pt idx="242">
                  <c:v>155.69999999999999</c:v>
                </c:pt>
                <c:pt idx="243">
                  <c:v>155.47</c:v>
                </c:pt>
                <c:pt idx="244">
                  <c:v>150.25</c:v>
                </c:pt>
                <c:pt idx="245">
                  <c:v>152.54</c:v>
                </c:pt>
                <c:pt idx="246">
                  <c:v>152.96</c:v>
                </c:pt>
                <c:pt idx="247">
                  <c:v>153.99</c:v>
                </c:pt>
                <c:pt idx="248">
                  <c:v>153.80000000000001</c:v>
                </c:pt>
                <c:pt idx="249">
                  <c:v>153.34</c:v>
                </c:pt>
                <c:pt idx="250">
                  <c:v>153.87</c:v>
                </c:pt>
                <c:pt idx="251">
                  <c:v>153.61000000000001</c:v>
                </c:pt>
                <c:pt idx="252">
                  <c:v>153.66999999999999</c:v>
                </c:pt>
                <c:pt idx="253">
                  <c:v>152.76</c:v>
                </c:pt>
                <c:pt idx="254">
                  <c:v>153.18</c:v>
                </c:pt>
                <c:pt idx="255">
                  <c:v>155.44999999999999</c:v>
                </c:pt>
                <c:pt idx="256">
                  <c:v>153.93</c:v>
                </c:pt>
                <c:pt idx="257">
                  <c:v>154.44999999999999</c:v>
                </c:pt>
                <c:pt idx="258">
                  <c:v>155.37</c:v>
                </c:pt>
                <c:pt idx="259">
                  <c:v>154.99</c:v>
                </c:pt>
                <c:pt idx="260">
                  <c:v>148.97999999999999</c:v>
                </c:pt>
                <c:pt idx="261">
                  <c:v>145.32</c:v>
                </c:pt>
                <c:pt idx="262">
                  <c:v>146.59</c:v>
                </c:pt>
                <c:pt idx="263">
                  <c:v>145.16</c:v>
                </c:pt>
                <c:pt idx="264">
                  <c:v>144.29</c:v>
                </c:pt>
                <c:pt idx="265">
                  <c:v>142.27000000000001</c:v>
                </c:pt>
                <c:pt idx="266">
                  <c:v>146.34</c:v>
                </c:pt>
                <c:pt idx="267">
                  <c:v>145.01</c:v>
                </c:pt>
                <c:pt idx="268">
                  <c:v>145.87</c:v>
                </c:pt>
                <c:pt idx="269">
                  <c:v>145.63</c:v>
                </c:pt>
                <c:pt idx="270">
                  <c:v>146.35</c:v>
                </c:pt>
                <c:pt idx="271">
                  <c:v>145.82</c:v>
                </c:pt>
                <c:pt idx="272">
                  <c:v>143.74</c:v>
                </c:pt>
              </c:numCache>
            </c:numRef>
          </c:val>
          <c:smooth val="0"/>
        </c:ser>
        <c:ser>
          <c:idx val="3"/>
          <c:order val="5"/>
          <c:tx>
            <c:v>Senkou Slow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Ichimoku!$C$2:$C$274</c:f>
              <c:numCache>
                <c:formatCode>m/d/yyyy</c:formatCode>
                <c:ptCount val="273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42619</c:v>
                </c:pt>
                <c:pt idx="45">
                  <c:v>42620</c:v>
                </c:pt>
                <c:pt idx="46">
                  <c:v>42621</c:v>
                </c:pt>
                <c:pt idx="47">
                  <c:v>42622</c:v>
                </c:pt>
                <c:pt idx="48">
                  <c:v>42625</c:v>
                </c:pt>
                <c:pt idx="49">
                  <c:v>42626</c:v>
                </c:pt>
                <c:pt idx="50">
                  <c:v>42627</c:v>
                </c:pt>
                <c:pt idx="51">
                  <c:v>42628</c:v>
                </c:pt>
                <c:pt idx="52">
                  <c:v>42629</c:v>
                </c:pt>
                <c:pt idx="53">
                  <c:v>42632</c:v>
                </c:pt>
                <c:pt idx="54">
                  <c:v>42633</c:v>
                </c:pt>
                <c:pt idx="55">
                  <c:v>42634</c:v>
                </c:pt>
                <c:pt idx="56">
                  <c:v>42635</c:v>
                </c:pt>
                <c:pt idx="57">
                  <c:v>42636</c:v>
                </c:pt>
                <c:pt idx="58">
                  <c:v>42639</c:v>
                </c:pt>
                <c:pt idx="59">
                  <c:v>42640</c:v>
                </c:pt>
                <c:pt idx="60">
                  <c:v>42641</c:v>
                </c:pt>
                <c:pt idx="61">
                  <c:v>42642</c:v>
                </c:pt>
                <c:pt idx="62">
                  <c:v>42643</c:v>
                </c:pt>
                <c:pt idx="63">
                  <c:v>42646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42731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42738</c:v>
                </c:pt>
                <c:pt idx="127">
                  <c:v>42739</c:v>
                </c:pt>
                <c:pt idx="128">
                  <c:v>42740</c:v>
                </c:pt>
                <c:pt idx="129">
                  <c:v>42741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42788</c:v>
                </c:pt>
                <c:pt idx="161">
                  <c:v>42789</c:v>
                </c:pt>
                <c:pt idx="162">
                  <c:v>42790</c:v>
                </c:pt>
                <c:pt idx="163">
                  <c:v>42793</c:v>
                </c:pt>
                <c:pt idx="164">
                  <c:v>42794</c:v>
                </c:pt>
                <c:pt idx="165">
                  <c:v>42795</c:v>
                </c:pt>
                <c:pt idx="166">
                  <c:v>42796</c:v>
                </c:pt>
                <c:pt idx="167">
                  <c:v>42797</c:v>
                </c:pt>
                <c:pt idx="168">
                  <c:v>42800</c:v>
                </c:pt>
                <c:pt idx="169">
                  <c:v>42801</c:v>
                </c:pt>
                <c:pt idx="170">
                  <c:v>42802</c:v>
                </c:pt>
                <c:pt idx="171">
                  <c:v>42803</c:v>
                </c:pt>
                <c:pt idx="172">
                  <c:v>42804</c:v>
                </c:pt>
                <c:pt idx="173">
                  <c:v>42807</c:v>
                </c:pt>
                <c:pt idx="174">
                  <c:v>42808</c:v>
                </c:pt>
                <c:pt idx="175">
                  <c:v>42809</c:v>
                </c:pt>
                <c:pt idx="176">
                  <c:v>42810</c:v>
                </c:pt>
                <c:pt idx="177">
                  <c:v>42811</c:v>
                </c:pt>
                <c:pt idx="178">
                  <c:v>42814</c:v>
                </c:pt>
                <c:pt idx="179">
                  <c:v>42815</c:v>
                </c:pt>
                <c:pt idx="180">
                  <c:v>42816</c:v>
                </c:pt>
                <c:pt idx="181">
                  <c:v>42817</c:v>
                </c:pt>
                <c:pt idx="182">
                  <c:v>42818</c:v>
                </c:pt>
                <c:pt idx="183">
                  <c:v>42821</c:v>
                </c:pt>
                <c:pt idx="184">
                  <c:v>42822</c:v>
                </c:pt>
                <c:pt idx="185">
                  <c:v>42823</c:v>
                </c:pt>
                <c:pt idx="186">
                  <c:v>42824</c:v>
                </c:pt>
                <c:pt idx="187">
                  <c:v>42825</c:v>
                </c:pt>
                <c:pt idx="188">
                  <c:v>42828</c:v>
                </c:pt>
                <c:pt idx="189">
                  <c:v>42829</c:v>
                </c:pt>
                <c:pt idx="190">
                  <c:v>42830</c:v>
                </c:pt>
                <c:pt idx="191">
                  <c:v>42831</c:v>
                </c:pt>
                <c:pt idx="192">
                  <c:v>42832</c:v>
                </c:pt>
                <c:pt idx="193">
                  <c:v>42835</c:v>
                </c:pt>
                <c:pt idx="194">
                  <c:v>42836</c:v>
                </c:pt>
                <c:pt idx="195">
                  <c:v>42837</c:v>
                </c:pt>
                <c:pt idx="196">
                  <c:v>42838</c:v>
                </c:pt>
                <c:pt idx="197">
                  <c:v>42842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42856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42880</c:v>
                </c:pt>
                <c:pt idx="226">
                  <c:v>42881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42891</c:v>
                </c:pt>
                <c:pt idx="232">
                  <c:v>42892</c:v>
                </c:pt>
                <c:pt idx="233">
                  <c:v>42893</c:v>
                </c:pt>
                <c:pt idx="234">
                  <c:v>42894</c:v>
                </c:pt>
                <c:pt idx="235">
                  <c:v>42895</c:v>
                </c:pt>
                <c:pt idx="236">
                  <c:v>42898</c:v>
                </c:pt>
                <c:pt idx="237">
                  <c:v>42899</c:v>
                </c:pt>
                <c:pt idx="238">
                  <c:v>42900</c:v>
                </c:pt>
                <c:pt idx="239">
                  <c:v>42901</c:v>
                </c:pt>
                <c:pt idx="240">
                  <c:v>42902</c:v>
                </c:pt>
                <c:pt idx="241">
                  <c:v>42905</c:v>
                </c:pt>
                <c:pt idx="242">
                  <c:v>42906</c:v>
                </c:pt>
                <c:pt idx="243">
                  <c:v>42907</c:v>
                </c:pt>
                <c:pt idx="244">
                  <c:v>42908</c:v>
                </c:pt>
                <c:pt idx="245">
                  <c:v>42909</c:v>
                </c:pt>
                <c:pt idx="246">
                  <c:v>42912</c:v>
                </c:pt>
                <c:pt idx="247">
                  <c:v>42913</c:v>
                </c:pt>
                <c:pt idx="248">
                  <c:v>42914</c:v>
                </c:pt>
                <c:pt idx="249">
                  <c:v>42915</c:v>
                </c:pt>
                <c:pt idx="250">
                  <c:v>42916</c:v>
                </c:pt>
                <c:pt idx="251">
                  <c:v>42917</c:v>
                </c:pt>
                <c:pt idx="252">
                  <c:v>42918</c:v>
                </c:pt>
                <c:pt idx="253">
                  <c:v>42919</c:v>
                </c:pt>
                <c:pt idx="254">
                  <c:v>42920</c:v>
                </c:pt>
                <c:pt idx="255">
                  <c:v>42921</c:v>
                </c:pt>
                <c:pt idx="256">
                  <c:v>42922</c:v>
                </c:pt>
                <c:pt idx="257">
                  <c:v>42923</c:v>
                </c:pt>
                <c:pt idx="258">
                  <c:v>42924</c:v>
                </c:pt>
                <c:pt idx="259">
                  <c:v>42925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42931</c:v>
                </c:pt>
                <c:pt idx="266">
                  <c:v>42932</c:v>
                </c:pt>
                <c:pt idx="267">
                  <c:v>42933</c:v>
                </c:pt>
                <c:pt idx="268">
                  <c:v>42934</c:v>
                </c:pt>
                <c:pt idx="269">
                  <c:v>42935</c:v>
                </c:pt>
                <c:pt idx="270">
                  <c:v>42936</c:v>
                </c:pt>
                <c:pt idx="271">
                  <c:v>42937</c:v>
                </c:pt>
                <c:pt idx="272">
                  <c:v>42938</c:v>
                </c:pt>
              </c:numCache>
            </c:numRef>
          </c:cat>
          <c:val>
            <c:numRef>
              <c:f>Ichimoku!$P$2:$P$274</c:f>
              <c:numCache>
                <c:formatCode>General</c:formatCode>
                <c:ptCount val="273"/>
                <c:pt idx="77">
                  <c:v>105.05000000000001</c:v>
                </c:pt>
                <c:pt idx="78">
                  <c:v>105.25</c:v>
                </c:pt>
                <c:pt idx="79">
                  <c:v>105.9</c:v>
                </c:pt>
                <c:pt idx="80">
                  <c:v>106.11500000000001</c:v>
                </c:pt>
                <c:pt idx="81">
                  <c:v>106.30000000000001</c:v>
                </c:pt>
                <c:pt idx="82">
                  <c:v>106.30000000000001</c:v>
                </c:pt>
                <c:pt idx="83">
                  <c:v>106.30000000000001</c:v>
                </c:pt>
                <c:pt idx="84">
                  <c:v>106.30000000000001</c:v>
                </c:pt>
                <c:pt idx="85">
                  <c:v>106.30000000000001</c:v>
                </c:pt>
                <c:pt idx="86">
                  <c:v>106.30000000000001</c:v>
                </c:pt>
                <c:pt idx="87">
                  <c:v>106.30000000000001</c:v>
                </c:pt>
                <c:pt idx="88">
                  <c:v>106.30000000000001</c:v>
                </c:pt>
                <c:pt idx="89">
                  <c:v>106.30000000000001</c:v>
                </c:pt>
                <c:pt idx="90">
                  <c:v>106.30000000000001</c:v>
                </c:pt>
                <c:pt idx="91">
                  <c:v>106.30000000000001</c:v>
                </c:pt>
                <c:pt idx="92">
                  <c:v>106.30000000000001</c:v>
                </c:pt>
                <c:pt idx="93">
                  <c:v>109.355</c:v>
                </c:pt>
                <c:pt idx="94">
                  <c:v>109.64</c:v>
                </c:pt>
                <c:pt idx="95">
                  <c:v>110.61</c:v>
                </c:pt>
                <c:pt idx="96">
                  <c:v>110.61</c:v>
                </c:pt>
                <c:pt idx="97">
                  <c:v>110.61</c:v>
                </c:pt>
                <c:pt idx="98">
                  <c:v>110.61</c:v>
                </c:pt>
                <c:pt idx="99">
                  <c:v>110.61</c:v>
                </c:pt>
                <c:pt idx="100">
                  <c:v>110.61</c:v>
                </c:pt>
                <c:pt idx="101">
                  <c:v>110.61</c:v>
                </c:pt>
                <c:pt idx="102">
                  <c:v>110.61</c:v>
                </c:pt>
                <c:pt idx="103">
                  <c:v>110.61</c:v>
                </c:pt>
                <c:pt idx="104">
                  <c:v>110.61</c:v>
                </c:pt>
                <c:pt idx="105">
                  <c:v>110.61</c:v>
                </c:pt>
                <c:pt idx="106">
                  <c:v>110.61</c:v>
                </c:pt>
                <c:pt idx="107">
                  <c:v>110.61</c:v>
                </c:pt>
                <c:pt idx="108">
                  <c:v>110.61</c:v>
                </c:pt>
                <c:pt idx="109">
                  <c:v>110.61</c:v>
                </c:pt>
                <c:pt idx="110">
                  <c:v>110.61</c:v>
                </c:pt>
                <c:pt idx="111">
                  <c:v>110.61</c:v>
                </c:pt>
                <c:pt idx="112">
                  <c:v>110.61</c:v>
                </c:pt>
                <c:pt idx="113">
                  <c:v>110.61</c:v>
                </c:pt>
                <c:pt idx="114">
                  <c:v>110.61</c:v>
                </c:pt>
                <c:pt idx="115">
                  <c:v>110.61</c:v>
                </c:pt>
                <c:pt idx="116">
                  <c:v>110.61</c:v>
                </c:pt>
                <c:pt idx="117">
                  <c:v>110.61</c:v>
                </c:pt>
                <c:pt idx="118">
                  <c:v>110.61</c:v>
                </c:pt>
                <c:pt idx="119">
                  <c:v>110.61</c:v>
                </c:pt>
                <c:pt idx="120">
                  <c:v>110.61</c:v>
                </c:pt>
                <c:pt idx="121">
                  <c:v>110.61</c:v>
                </c:pt>
                <c:pt idx="122">
                  <c:v>110.61</c:v>
                </c:pt>
                <c:pt idx="123">
                  <c:v>110.61</c:v>
                </c:pt>
                <c:pt idx="124">
                  <c:v>110.61</c:v>
                </c:pt>
                <c:pt idx="125">
                  <c:v>110.61</c:v>
                </c:pt>
                <c:pt idx="126">
                  <c:v>111.38499999999999</c:v>
                </c:pt>
                <c:pt idx="127">
                  <c:v>111.38499999999999</c:v>
                </c:pt>
                <c:pt idx="128">
                  <c:v>111.38499999999999</c:v>
                </c:pt>
                <c:pt idx="129">
                  <c:v>111.38499999999999</c:v>
                </c:pt>
                <c:pt idx="130">
                  <c:v>111.38499999999999</c:v>
                </c:pt>
                <c:pt idx="131">
                  <c:v>111.38499999999999</c:v>
                </c:pt>
                <c:pt idx="132">
                  <c:v>111.38499999999999</c:v>
                </c:pt>
                <c:pt idx="133">
                  <c:v>111.38499999999999</c:v>
                </c:pt>
                <c:pt idx="134">
                  <c:v>111.38499999999999</c:v>
                </c:pt>
                <c:pt idx="135">
                  <c:v>111.38499999999999</c:v>
                </c:pt>
                <c:pt idx="136">
                  <c:v>111.38499999999999</c:v>
                </c:pt>
                <c:pt idx="137">
                  <c:v>111.38499999999999</c:v>
                </c:pt>
                <c:pt idx="138">
                  <c:v>111.38499999999999</c:v>
                </c:pt>
                <c:pt idx="139">
                  <c:v>111.38499999999999</c:v>
                </c:pt>
                <c:pt idx="140">
                  <c:v>111.38499999999999</c:v>
                </c:pt>
                <c:pt idx="141">
                  <c:v>111.38499999999999</c:v>
                </c:pt>
                <c:pt idx="142">
                  <c:v>111.38499999999999</c:v>
                </c:pt>
                <c:pt idx="143">
                  <c:v>111.38499999999999</c:v>
                </c:pt>
                <c:pt idx="144">
                  <c:v>111.38499999999999</c:v>
                </c:pt>
                <c:pt idx="145">
                  <c:v>111.38499999999999</c:v>
                </c:pt>
                <c:pt idx="146">
                  <c:v>111.38499999999999</c:v>
                </c:pt>
                <c:pt idx="147">
                  <c:v>111.22</c:v>
                </c:pt>
                <c:pt idx="148">
                  <c:v>111.22</c:v>
                </c:pt>
                <c:pt idx="149">
                  <c:v>111.22</c:v>
                </c:pt>
                <c:pt idx="150">
                  <c:v>111.22</c:v>
                </c:pt>
                <c:pt idx="151">
                  <c:v>111.22</c:v>
                </c:pt>
                <c:pt idx="152">
                  <c:v>111.22</c:v>
                </c:pt>
                <c:pt idx="153">
                  <c:v>111.22</c:v>
                </c:pt>
                <c:pt idx="154">
                  <c:v>111.22</c:v>
                </c:pt>
                <c:pt idx="155">
                  <c:v>111.22</c:v>
                </c:pt>
                <c:pt idx="156">
                  <c:v>111.755</c:v>
                </c:pt>
                <c:pt idx="157">
                  <c:v>111.755</c:v>
                </c:pt>
                <c:pt idx="158">
                  <c:v>112.005</c:v>
                </c:pt>
                <c:pt idx="159">
                  <c:v>112.005</c:v>
                </c:pt>
                <c:pt idx="160">
                  <c:v>112.005</c:v>
                </c:pt>
                <c:pt idx="161">
                  <c:v>112.16</c:v>
                </c:pt>
                <c:pt idx="162">
                  <c:v>112.28999999999999</c:v>
                </c:pt>
                <c:pt idx="163">
                  <c:v>112.28999999999999</c:v>
                </c:pt>
                <c:pt idx="164">
                  <c:v>112.28999999999999</c:v>
                </c:pt>
                <c:pt idx="165">
                  <c:v>112.44499999999999</c:v>
                </c:pt>
                <c:pt idx="166">
                  <c:v>112.44499999999999</c:v>
                </c:pt>
                <c:pt idx="167">
                  <c:v>113.09</c:v>
                </c:pt>
                <c:pt idx="168">
                  <c:v>113.25999999999999</c:v>
                </c:pt>
                <c:pt idx="169">
                  <c:v>113.25999999999999</c:v>
                </c:pt>
                <c:pt idx="170">
                  <c:v>113.25999999999999</c:v>
                </c:pt>
                <c:pt idx="171">
                  <c:v>114.29965</c:v>
                </c:pt>
                <c:pt idx="172">
                  <c:v>118.545</c:v>
                </c:pt>
                <c:pt idx="173">
                  <c:v>119.37</c:v>
                </c:pt>
                <c:pt idx="174">
                  <c:v>119.37</c:v>
                </c:pt>
                <c:pt idx="175">
                  <c:v>119.375</c:v>
                </c:pt>
                <c:pt idx="176">
                  <c:v>120.17</c:v>
                </c:pt>
                <c:pt idx="177">
                  <c:v>120.235</c:v>
                </c:pt>
                <c:pt idx="178">
                  <c:v>120.3475</c:v>
                </c:pt>
                <c:pt idx="179">
                  <c:v>120.595</c:v>
                </c:pt>
                <c:pt idx="180">
                  <c:v>121.035</c:v>
                </c:pt>
                <c:pt idx="181">
                  <c:v>121.67</c:v>
                </c:pt>
                <c:pt idx="182">
                  <c:v>122.26</c:v>
                </c:pt>
                <c:pt idx="183">
                  <c:v>122.26</c:v>
                </c:pt>
                <c:pt idx="184">
                  <c:v>122.26</c:v>
                </c:pt>
                <c:pt idx="185">
                  <c:v>122.955</c:v>
                </c:pt>
                <c:pt idx="186">
                  <c:v>123.14</c:v>
                </c:pt>
                <c:pt idx="187">
                  <c:v>124.03999999999999</c:v>
                </c:pt>
                <c:pt idx="188">
                  <c:v>124.895</c:v>
                </c:pt>
                <c:pt idx="189">
                  <c:v>124.98499999999999</c:v>
                </c:pt>
                <c:pt idx="190">
                  <c:v>125.61499999999999</c:v>
                </c:pt>
                <c:pt idx="191">
                  <c:v>127.45500000000001</c:v>
                </c:pt>
                <c:pt idx="192">
                  <c:v>127.51930000000002</c:v>
                </c:pt>
                <c:pt idx="193">
                  <c:v>127.51930000000002</c:v>
                </c:pt>
                <c:pt idx="194">
                  <c:v>127.51930000000002</c:v>
                </c:pt>
                <c:pt idx="195">
                  <c:v>127.51930000000002</c:v>
                </c:pt>
                <c:pt idx="196">
                  <c:v>127.51930000000002</c:v>
                </c:pt>
                <c:pt idx="197">
                  <c:v>127.51930000000002</c:v>
                </c:pt>
                <c:pt idx="198">
                  <c:v>127.51930000000002</c:v>
                </c:pt>
                <c:pt idx="199">
                  <c:v>127.51930000000002</c:v>
                </c:pt>
                <c:pt idx="200">
                  <c:v>127.51930000000002</c:v>
                </c:pt>
                <c:pt idx="201">
                  <c:v>127.75505000000001</c:v>
                </c:pt>
                <c:pt idx="202">
                  <c:v>127.89000000000001</c:v>
                </c:pt>
                <c:pt idx="203">
                  <c:v>127.89000000000001</c:v>
                </c:pt>
                <c:pt idx="204">
                  <c:v>128.625</c:v>
                </c:pt>
                <c:pt idx="205">
                  <c:v>129.30500000000001</c:v>
                </c:pt>
                <c:pt idx="206">
                  <c:v>129.63499999999999</c:v>
                </c:pt>
                <c:pt idx="207">
                  <c:v>130.37</c:v>
                </c:pt>
                <c:pt idx="208">
                  <c:v>130.505</c:v>
                </c:pt>
                <c:pt idx="209">
                  <c:v>130.505</c:v>
                </c:pt>
                <c:pt idx="210">
                  <c:v>131.125</c:v>
                </c:pt>
                <c:pt idx="211">
                  <c:v>131.35500000000002</c:v>
                </c:pt>
                <c:pt idx="212">
                  <c:v>131.36000000000001</c:v>
                </c:pt>
                <c:pt idx="213">
                  <c:v>131.935</c:v>
                </c:pt>
                <c:pt idx="214">
                  <c:v>131.935</c:v>
                </c:pt>
                <c:pt idx="215">
                  <c:v>132.19499999999999</c:v>
                </c:pt>
                <c:pt idx="216">
                  <c:v>132.48000000000002</c:v>
                </c:pt>
                <c:pt idx="217">
                  <c:v>132.48000000000002</c:v>
                </c:pt>
                <c:pt idx="218">
                  <c:v>132.87</c:v>
                </c:pt>
                <c:pt idx="219">
                  <c:v>133.04000000000002</c:v>
                </c:pt>
                <c:pt idx="220">
                  <c:v>133.04000000000002</c:v>
                </c:pt>
                <c:pt idx="221">
                  <c:v>133.04000000000002</c:v>
                </c:pt>
                <c:pt idx="222">
                  <c:v>133.04000000000002</c:v>
                </c:pt>
                <c:pt idx="223">
                  <c:v>136.23500000000001</c:v>
                </c:pt>
                <c:pt idx="224">
                  <c:v>136.62</c:v>
                </c:pt>
                <c:pt idx="225">
                  <c:v>136.81</c:v>
                </c:pt>
                <c:pt idx="226">
                  <c:v>137.18</c:v>
                </c:pt>
                <c:pt idx="227">
                  <c:v>137.95499999999998</c:v>
                </c:pt>
                <c:pt idx="228">
                  <c:v>138.29000000000002</c:v>
                </c:pt>
                <c:pt idx="229">
                  <c:v>138.29000000000002</c:v>
                </c:pt>
                <c:pt idx="230">
                  <c:v>138.755</c:v>
                </c:pt>
                <c:pt idx="231">
                  <c:v>139.10500000000002</c:v>
                </c:pt>
                <c:pt idx="232">
                  <c:v>139.35500000000002</c:v>
                </c:pt>
                <c:pt idx="233">
                  <c:v>140.91</c:v>
                </c:pt>
                <c:pt idx="234">
                  <c:v>141.4649</c:v>
                </c:pt>
                <c:pt idx="235">
                  <c:v>141.595</c:v>
                </c:pt>
                <c:pt idx="236">
                  <c:v>141.685</c:v>
                </c:pt>
                <c:pt idx="237">
                  <c:v>142.13</c:v>
                </c:pt>
                <c:pt idx="238">
                  <c:v>144.49</c:v>
                </c:pt>
                <c:pt idx="239">
                  <c:v>145.07999999999998</c:v>
                </c:pt>
                <c:pt idx="240">
                  <c:v>145.57999999999998</c:v>
                </c:pt>
                <c:pt idx="241">
                  <c:v>145.79</c:v>
                </c:pt>
                <c:pt idx="242">
                  <c:v>146.73500000000001</c:v>
                </c:pt>
                <c:pt idx="243">
                  <c:v>146.85000000000002</c:v>
                </c:pt>
                <c:pt idx="244">
                  <c:v>146.85000000000002</c:v>
                </c:pt>
                <c:pt idx="245">
                  <c:v>146.85000000000002</c:v>
                </c:pt>
                <c:pt idx="246">
                  <c:v>146.85000000000002</c:v>
                </c:pt>
                <c:pt idx="247">
                  <c:v>146.85000000000002</c:v>
                </c:pt>
                <c:pt idx="248">
                  <c:v>146.85000000000002</c:v>
                </c:pt>
                <c:pt idx="249">
                  <c:v>147.63499999999999</c:v>
                </c:pt>
                <c:pt idx="250">
                  <c:v>147.63499999999999</c:v>
                </c:pt>
                <c:pt idx="251">
                  <c:v>147.63499999999999</c:v>
                </c:pt>
                <c:pt idx="252">
                  <c:v>147.63499999999999</c:v>
                </c:pt>
                <c:pt idx="253">
                  <c:v>147.63499999999999</c:v>
                </c:pt>
                <c:pt idx="254">
                  <c:v>147.63499999999999</c:v>
                </c:pt>
                <c:pt idx="255">
                  <c:v>147.63499999999999</c:v>
                </c:pt>
                <c:pt idx="256">
                  <c:v>147.63499999999999</c:v>
                </c:pt>
                <c:pt idx="257">
                  <c:v>147.63499999999999</c:v>
                </c:pt>
                <c:pt idx="258">
                  <c:v>147.63499999999999</c:v>
                </c:pt>
                <c:pt idx="259">
                  <c:v>147.63499999999999</c:v>
                </c:pt>
                <c:pt idx="260">
                  <c:v>147.63499999999999</c:v>
                </c:pt>
                <c:pt idx="261">
                  <c:v>148.35500000000002</c:v>
                </c:pt>
                <c:pt idx="262">
                  <c:v>148.35500000000002</c:v>
                </c:pt>
                <c:pt idx="263">
                  <c:v>148.35500000000002</c:v>
                </c:pt>
                <c:pt idx="264">
                  <c:v>148.35500000000002</c:v>
                </c:pt>
                <c:pt idx="265">
                  <c:v>148.35500000000002</c:v>
                </c:pt>
                <c:pt idx="266">
                  <c:v>148.35500000000002</c:v>
                </c:pt>
                <c:pt idx="267">
                  <c:v>148.35500000000002</c:v>
                </c:pt>
                <c:pt idx="268">
                  <c:v>148.35500000000002</c:v>
                </c:pt>
                <c:pt idx="269">
                  <c:v>148.35500000000002</c:v>
                </c:pt>
                <c:pt idx="270">
                  <c:v>148.35500000000002</c:v>
                </c:pt>
                <c:pt idx="271">
                  <c:v>148.35500000000002</c:v>
                </c:pt>
                <c:pt idx="272">
                  <c:v>148.55000000000001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rgbClr val="FF0000"/>
              </a:solidFill>
              <a:ln w="3175">
                <a:solidFill>
                  <a:srgbClr val="FF0000">
                    <a:alpha val="1000"/>
                  </a:srgbClr>
                </a:solidFill>
              </a:ln>
              <a:effectLst/>
            </c:spPr>
          </c:upBars>
          <c:downBars>
            <c:spPr>
              <a:solidFill>
                <a:schemeClr val="accent6"/>
              </a:solidFill>
              <a:ln w="3175">
                <a:solidFill>
                  <a:schemeClr val="accent6">
                    <a:alpha val="10000"/>
                  </a:schemeClr>
                </a:solidFill>
              </a:ln>
              <a:effectLst/>
            </c:spPr>
          </c:downBars>
        </c:upDownBars>
        <c:smooth val="0"/>
        <c:axId val="399136488"/>
        <c:axId val="399137272"/>
      </c:lineChart>
      <c:dateAx>
        <c:axId val="399136488"/>
        <c:scaling>
          <c:orientation val="minMax"/>
        </c:scaling>
        <c:delete val="0"/>
        <c:axPos val="b"/>
        <c:numFmt formatCode="m/d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37272"/>
        <c:crosses val="autoZero"/>
        <c:auto val="0"/>
        <c:lblOffset val="100"/>
        <c:baseTimeUnit val="days"/>
        <c:majorUnit val="28"/>
        <c:majorTimeUnit val="days"/>
      </c:dateAx>
      <c:valAx>
        <c:axId val="39913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36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1</xdr:row>
      <xdr:rowOff>76200</xdr:rowOff>
    </xdr:from>
    <xdr:to>
      <xdr:col>15</xdr:col>
      <xdr:colOff>85725</xdr:colOff>
      <xdr:row>21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15</xdr:row>
          <xdr:rowOff>0</xdr:rowOff>
        </xdr:from>
        <xdr:to>
          <xdr:col>0</xdr:col>
          <xdr:colOff>1057275</xdr:colOff>
          <xdr:row>20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Ichimoku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74"/>
  <sheetViews>
    <sheetView tabSelected="1" workbookViewId="0">
      <selection activeCell="F12" sqref="F12"/>
    </sheetView>
  </sheetViews>
  <sheetFormatPr defaultRowHeight="15" x14ac:dyDescent="0.25"/>
  <cols>
    <col min="1" max="1" width="16.42578125" bestFit="1" customWidth="1"/>
    <col min="2" max="2" width="5" customWidth="1"/>
    <col min="3" max="3" width="10.7109375" bestFit="1" customWidth="1"/>
    <col min="4" max="4" width="14.85546875" bestFit="1" customWidth="1"/>
    <col min="5" max="5" width="14.5703125" bestFit="1" customWidth="1"/>
    <col min="6" max="6" width="15.85546875" bestFit="1" customWidth="1"/>
    <col min="7" max="8" width="15.85546875" customWidth="1"/>
    <col min="9" max="9" width="18" bestFit="1" customWidth="1"/>
    <col min="10" max="10" width="17.42578125" bestFit="1" customWidth="1"/>
    <col min="11" max="11" width="14.5703125" bestFit="1" customWidth="1"/>
    <col min="12" max="12" width="14" bestFit="1" customWidth="1"/>
    <col min="13" max="13" width="11.42578125" bestFit="1" customWidth="1"/>
    <col min="15" max="15" width="11.5703125" bestFit="1" customWidth="1"/>
    <col min="16" max="16" width="14.140625" bestFit="1" customWidth="1"/>
    <col min="17" max="17" width="14" bestFit="1" customWidth="1"/>
  </cols>
  <sheetData>
    <row r="1" spans="1:17" x14ac:dyDescent="0.25">
      <c r="A1" t="s">
        <v>0</v>
      </c>
      <c r="C1" t="str">
        <f>_xll.QSERIES({"WIKI/AAPL/DATE","WIKI/AAPL/HIGH","WIKI/AAPL/LOW","WIKI/AAPL/CLOSE"},,"daily","asc",,248)</f>
        <v>DATE</v>
      </c>
      <c r="D1" t="s">
        <v>17</v>
      </c>
      <c r="E1" t="s">
        <v>18</v>
      </c>
      <c r="F1" t="s">
        <v>19</v>
      </c>
      <c r="G1" t="s">
        <v>10</v>
      </c>
      <c r="H1" t="s">
        <v>11</v>
      </c>
      <c r="I1" t="s">
        <v>14</v>
      </c>
      <c r="J1" t="s">
        <v>15</v>
      </c>
      <c r="K1" t="s">
        <v>12</v>
      </c>
      <c r="L1" t="s">
        <v>13</v>
      </c>
      <c r="M1" t="s">
        <v>6</v>
      </c>
      <c r="N1" t="s">
        <v>7</v>
      </c>
      <c r="O1" t="s">
        <v>9</v>
      </c>
      <c r="P1" t="s">
        <v>8</v>
      </c>
      <c r="Q1" t="s">
        <v>16</v>
      </c>
    </row>
    <row r="2" spans="1:17" x14ac:dyDescent="0.25">
      <c r="A2" t="s">
        <v>1</v>
      </c>
      <c r="C2" s="1">
        <v>42556</v>
      </c>
      <c r="D2">
        <v>95.4</v>
      </c>
      <c r="E2">
        <v>94.46</v>
      </c>
      <c r="F2">
        <v>94.99</v>
      </c>
    </row>
    <row r="3" spans="1:17" x14ac:dyDescent="0.25">
      <c r="C3" s="1">
        <v>42557</v>
      </c>
      <c r="D3">
        <v>95.66</v>
      </c>
      <c r="E3">
        <v>94.37</v>
      </c>
      <c r="F3">
        <v>95.53</v>
      </c>
    </row>
    <row r="4" spans="1:17" x14ac:dyDescent="0.25">
      <c r="A4" t="s">
        <v>5</v>
      </c>
      <c r="C4" s="1">
        <v>42558</v>
      </c>
      <c r="D4">
        <v>96.5</v>
      </c>
      <c r="E4">
        <v>95.62</v>
      </c>
      <c r="F4">
        <v>95.94</v>
      </c>
    </row>
    <row r="5" spans="1:17" x14ac:dyDescent="0.25">
      <c r="A5">
        <v>248</v>
      </c>
      <c r="C5" s="1">
        <v>42559</v>
      </c>
      <c r="D5">
        <v>96.89</v>
      </c>
      <c r="E5">
        <v>96.05</v>
      </c>
      <c r="F5">
        <v>96.68</v>
      </c>
    </row>
    <row r="6" spans="1:17" x14ac:dyDescent="0.25">
      <c r="C6" s="1">
        <v>42562</v>
      </c>
      <c r="D6">
        <v>97.65</v>
      </c>
      <c r="E6">
        <v>96.73</v>
      </c>
      <c r="F6">
        <v>96.98</v>
      </c>
    </row>
    <row r="7" spans="1:17" x14ac:dyDescent="0.25">
      <c r="A7" t="s">
        <v>2</v>
      </c>
      <c r="C7" s="1">
        <v>42563</v>
      </c>
      <c r="D7">
        <v>97.7</v>
      </c>
      <c r="E7">
        <v>97.12</v>
      </c>
      <c r="F7">
        <v>97.42</v>
      </c>
    </row>
    <row r="8" spans="1:17" x14ac:dyDescent="0.25">
      <c r="A8">
        <v>52</v>
      </c>
      <c r="C8" s="1">
        <v>42564</v>
      </c>
      <c r="D8">
        <v>97.67</v>
      </c>
      <c r="E8">
        <v>96.84</v>
      </c>
      <c r="F8">
        <v>96.87</v>
      </c>
    </row>
    <row r="9" spans="1:17" x14ac:dyDescent="0.25">
      <c r="C9" s="1">
        <v>42565</v>
      </c>
      <c r="D9">
        <v>98.99</v>
      </c>
      <c r="E9">
        <v>97.32</v>
      </c>
      <c r="F9">
        <v>98.79</v>
      </c>
    </row>
    <row r="10" spans="1:17" x14ac:dyDescent="0.25">
      <c r="A10" t="s">
        <v>3</v>
      </c>
      <c r="C10" s="1">
        <v>42566</v>
      </c>
      <c r="D10">
        <v>99.3</v>
      </c>
      <c r="E10">
        <v>98.5</v>
      </c>
      <c r="F10">
        <v>98.78</v>
      </c>
      <c r="G10">
        <f>MAX($D2:$D10)</f>
        <v>99.3</v>
      </c>
      <c r="H10">
        <f>MIN($E2:$E10)</f>
        <v>94.37</v>
      </c>
      <c r="M10">
        <f>($G10 + $H10) / 2</f>
        <v>96.835000000000008</v>
      </c>
    </row>
    <row r="11" spans="1:17" x14ac:dyDescent="0.25">
      <c r="A11">
        <v>26</v>
      </c>
      <c r="C11" s="1">
        <v>42569</v>
      </c>
      <c r="D11">
        <v>100.13</v>
      </c>
      <c r="E11">
        <v>98.6</v>
      </c>
      <c r="F11">
        <v>99.83</v>
      </c>
      <c r="G11">
        <f t="shared" ref="G11:G74" si="0">MAX($D3:$D11)</f>
        <v>100.13</v>
      </c>
      <c r="H11">
        <f t="shared" ref="H11:H74" si="1">MIN($E3:$E11)</f>
        <v>94.37</v>
      </c>
      <c r="M11">
        <f t="shared" ref="M11:N74" si="2">($G11 + $H11) / 2</f>
        <v>97.25</v>
      </c>
    </row>
    <row r="12" spans="1:17" x14ac:dyDescent="0.25">
      <c r="C12" s="1">
        <v>42570</v>
      </c>
      <c r="D12">
        <v>100</v>
      </c>
      <c r="E12">
        <v>99.34</v>
      </c>
      <c r="F12">
        <v>99.87</v>
      </c>
      <c r="G12">
        <f t="shared" si="0"/>
        <v>100.13</v>
      </c>
      <c r="H12">
        <f t="shared" si="1"/>
        <v>95.62</v>
      </c>
      <c r="M12">
        <f t="shared" si="2"/>
        <v>97.875</v>
      </c>
    </row>
    <row r="13" spans="1:17" x14ac:dyDescent="0.25">
      <c r="A13" t="s">
        <v>4</v>
      </c>
      <c r="C13" s="1">
        <v>42571</v>
      </c>
      <c r="D13">
        <v>100.46</v>
      </c>
      <c r="E13">
        <v>99.734999999999999</v>
      </c>
      <c r="F13">
        <v>99.96</v>
      </c>
      <c r="G13">
        <f t="shared" si="0"/>
        <v>100.46</v>
      </c>
      <c r="H13">
        <f t="shared" si="1"/>
        <v>96.05</v>
      </c>
      <c r="M13">
        <f t="shared" si="2"/>
        <v>98.254999999999995</v>
      </c>
    </row>
    <row r="14" spans="1:17" x14ac:dyDescent="0.25">
      <c r="A14">
        <v>9</v>
      </c>
      <c r="C14" s="1">
        <v>42572</v>
      </c>
      <c r="D14">
        <v>101</v>
      </c>
      <c r="E14">
        <v>99.13</v>
      </c>
      <c r="F14">
        <v>99.43</v>
      </c>
      <c r="G14">
        <f t="shared" si="0"/>
        <v>101</v>
      </c>
      <c r="H14">
        <f t="shared" si="1"/>
        <v>96.73</v>
      </c>
      <c r="M14">
        <f t="shared" si="2"/>
        <v>98.865000000000009</v>
      </c>
    </row>
    <row r="15" spans="1:17" x14ac:dyDescent="0.25">
      <c r="C15" s="1">
        <v>42573</v>
      </c>
      <c r="D15">
        <v>99.3</v>
      </c>
      <c r="E15">
        <v>98.31</v>
      </c>
      <c r="F15">
        <v>98.66</v>
      </c>
      <c r="G15">
        <f t="shared" si="0"/>
        <v>101</v>
      </c>
      <c r="H15">
        <f t="shared" si="1"/>
        <v>96.84</v>
      </c>
      <c r="M15">
        <f t="shared" si="2"/>
        <v>98.92</v>
      </c>
    </row>
    <row r="16" spans="1:17" x14ac:dyDescent="0.25">
      <c r="C16" s="1">
        <v>42576</v>
      </c>
      <c r="D16">
        <v>98.84</v>
      </c>
      <c r="E16">
        <v>96.92</v>
      </c>
      <c r="F16">
        <v>97.34</v>
      </c>
      <c r="G16">
        <f t="shared" si="0"/>
        <v>101</v>
      </c>
      <c r="H16">
        <f t="shared" si="1"/>
        <v>96.84</v>
      </c>
      <c r="M16">
        <f t="shared" si="2"/>
        <v>98.92</v>
      </c>
    </row>
    <row r="17" spans="3:17" x14ac:dyDescent="0.25">
      <c r="C17" s="1">
        <v>42577</v>
      </c>
      <c r="D17">
        <v>97.97</v>
      </c>
      <c r="E17">
        <v>96.42</v>
      </c>
      <c r="F17">
        <v>96.67</v>
      </c>
      <c r="G17">
        <f t="shared" si="0"/>
        <v>101</v>
      </c>
      <c r="H17">
        <f t="shared" si="1"/>
        <v>96.42</v>
      </c>
      <c r="M17">
        <f t="shared" si="2"/>
        <v>98.710000000000008</v>
      </c>
    </row>
    <row r="18" spans="3:17" x14ac:dyDescent="0.25">
      <c r="C18" s="1">
        <v>42578</v>
      </c>
      <c r="D18">
        <v>104.35</v>
      </c>
      <c r="E18">
        <v>102.75</v>
      </c>
      <c r="F18">
        <v>102.95</v>
      </c>
      <c r="G18">
        <f t="shared" si="0"/>
        <v>104.35</v>
      </c>
      <c r="H18">
        <f t="shared" si="1"/>
        <v>96.42</v>
      </c>
      <c r="M18">
        <f t="shared" si="2"/>
        <v>100.38499999999999</v>
      </c>
    </row>
    <row r="19" spans="3:17" x14ac:dyDescent="0.25">
      <c r="C19" s="1">
        <v>42579</v>
      </c>
      <c r="D19">
        <v>104.45</v>
      </c>
      <c r="E19">
        <v>102.82</v>
      </c>
      <c r="F19">
        <v>104.34</v>
      </c>
      <c r="G19">
        <f t="shared" si="0"/>
        <v>104.45</v>
      </c>
      <c r="H19">
        <f t="shared" si="1"/>
        <v>96.42</v>
      </c>
      <c r="M19">
        <f t="shared" si="2"/>
        <v>100.435</v>
      </c>
    </row>
    <row r="20" spans="3:17" x14ac:dyDescent="0.25">
      <c r="C20" s="1">
        <v>42580</v>
      </c>
      <c r="D20">
        <v>104.55</v>
      </c>
      <c r="E20">
        <v>103.68</v>
      </c>
      <c r="F20">
        <v>104.21</v>
      </c>
      <c r="G20">
        <f t="shared" si="0"/>
        <v>104.55</v>
      </c>
      <c r="H20">
        <f t="shared" si="1"/>
        <v>96.42</v>
      </c>
      <c r="M20">
        <f t="shared" si="2"/>
        <v>100.485</v>
      </c>
    </row>
    <row r="21" spans="3:17" x14ac:dyDescent="0.25">
      <c r="C21" s="1">
        <v>42583</v>
      </c>
      <c r="D21">
        <v>106.15</v>
      </c>
      <c r="E21">
        <v>104.41</v>
      </c>
      <c r="F21">
        <v>106.05</v>
      </c>
      <c r="G21">
        <f t="shared" si="0"/>
        <v>106.15</v>
      </c>
      <c r="H21">
        <f t="shared" si="1"/>
        <v>96.42</v>
      </c>
      <c r="M21">
        <f t="shared" si="2"/>
        <v>101.285</v>
      </c>
    </row>
    <row r="22" spans="3:17" x14ac:dyDescent="0.25">
      <c r="C22" s="1">
        <v>42584</v>
      </c>
      <c r="D22">
        <v>106.07</v>
      </c>
      <c r="E22">
        <v>104</v>
      </c>
      <c r="F22">
        <v>104.48</v>
      </c>
      <c r="G22">
        <f t="shared" si="0"/>
        <v>106.15</v>
      </c>
      <c r="H22">
        <f t="shared" si="1"/>
        <v>96.42</v>
      </c>
      <c r="M22">
        <f t="shared" si="2"/>
        <v>101.285</v>
      </c>
    </row>
    <row r="23" spans="3:17" x14ac:dyDescent="0.25">
      <c r="C23" s="1">
        <v>42585</v>
      </c>
      <c r="D23">
        <v>105.84</v>
      </c>
      <c r="E23">
        <v>104.77</v>
      </c>
      <c r="F23">
        <v>105.79</v>
      </c>
      <c r="G23">
        <f t="shared" si="0"/>
        <v>106.15</v>
      </c>
      <c r="H23">
        <f t="shared" si="1"/>
        <v>96.42</v>
      </c>
      <c r="M23">
        <f t="shared" si="2"/>
        <v>101.285</v>
      </c>
    </row>
    <row r="24" spans="3:17" x14ac:dyDescent="0.25">
      <c r="C24" s="1">
        <v>42586</v>
      </c>
      <c r="D24">
        <v>106</v>
      </c>
      <c r="E24">
        <v>105.28</v>
      </c>
      <c r="F24">
        <v>105.87</v>
      </c>
      <c r="G24">
        <f t="shared" si="0"/>
        <v>106.15</v>
      </c>
      <c r="H24">
        <f t="shared" si="1"/>
        <v>96.42</v>
      </c>
      <c r="M24">
        <f t="shared" si="2"/>
        <v>101.285</v>
      </c>
    </row>
    <row r="25" spans="3:17" x14ac:dyDescent="0.25">
      <c r="C25" s="1">
        <v>42587</v>
      </c>
      <c r="D25">
        <v>107.65</v>
      </c>
      <c r="E25">
        <v>106.18</v>
      </c>
      <c r="F25">
        <v>107.48</v>
      </c>
      <c r="G25">
        <f t="shared" si="0"/>
        <v>107.65</v>
      </c>
      <c r="H25">
        <f t="shared" si="1"/>
        <v>96.42</v>
      </c>
      <c r="M25">
        <f t="shared" si="2"/>
        <v>102.035</v>
      </c>
    </row>
    <row r="26" spans="3:17" x14ac:dyDescent="0.25">
      <c r="C26" s="1">
        <v>42590</v>
      </c>
      <c r="D26">
        <v>108.37</v>
      </c>
      <c r="E26">
        <v>107.16</v>
      </c>
      <c r="F26">
        <v>108.37</v>
      </c>
      <c r="G26">
        <f t="shared" si="0"/>
        <v>108.37</v>
      </c>
      <c r="H26">
        <f t="shared" si="1"/>
        <v>102.75</v>
      </c>
      <c r="M26">
        <f t="shared" si="2"/>
        <v>105.56</v>
      </c>
    </row>
    <row r="27" spans="3:17" x14ac:dyDescent="0.25">
      <c r="C27" s="1">
        <v>42591</v>
      </c>
      <c r="D27">
        <v>108.94</v>
      </c>
      <c r="E27">
        <v>108.01</v>
      </c>
      <c r="F27">
        <v>108.81</v>
      </c>
      <c r="G27">
        <f t="shared" si="0"/>
        <v>108.94</v>
      </c>
      <c r="H27">
        <f t="shared" si="1"/>
        <v>102.82</v>
      </c>
      <c r="I27">
        <f>MAX($D2:$D27)</f>
        <v>108.94</v>
      </c>
      <c r="J27">
        <f>MIN($E2:$E27)</f>
        <v>94.37</v>
      </c>
      <c r="M27">
        <f t="shared" si="2"/>
        <v>105.88</v>
      </c>
      <c r="Q27">
        <f>$F2</f>
        <v>94.99</v>
      </c>
    </row>
    <row r="28" spans="3:17" x14ac:dyDescent="0.25">
      <c r="C28" s="1">
        <v>42592</v>
      </c>
      <c r="D28">
        <v>108.9</v>
      </c>
      <c r="E28">
        <v>107.76</v>
      </c>
      <c r="F28">
        <v>108</v>
      </c>
      <c r="G28">
        <f t="shared" si="0"/>
        <v>108.94</v>
      </c>
      <c r="H28">
        <f t="shared" si="1"/>
        <v>103.68</v>
      </c>
      <c r="I28">
        <f t="shared" ref="I28:I91" si="3">MAX($D3:$D28)</f>
        <v>108.94</v>
      </c>
      <c r="J28">
        <f t="shared" ref="J28:J91" si="4">MIN($E3:$E28)</f>
        <v>94.37</v>
      </c>
      <c r="M28">
        <f t="shared" si="2"/>
        <v>106.31</v>
      </c>
      <c r="Q28">
        <f t="shared" ref="Q28:Q91" si="5">$F3</f>
        <v>95.53</v>
      </c>
    </row>
    <row r="29" spans="3:17" x14ac:dyDescent="0.25">
      <c r="C29" s="1">
        <v>42593</v>
      </c>
      <c r="D29">
        <v>108.93</v>
      </c>
      <c r="E29">
        <v>107.85</v>
      </c>
      <c r="F29">
        <v>107.93</v>
      </c>
      <c r="G29">
        <f t="shared" si="0"/>
        <v>108.94</v>
      </c>
      <c r="H29">
        <f t="shared" si="1"/>
        <v>104</v>
      </c>
      <c r="I29">
        <f t="shared" si="3"/>
        <v>108.94</v>
      </c>
      <c r="J29">
        <f t="shared" si="4"/>
        <v>95.62</v>
      </c>
      <c r="M29">
        <f t="shared" si="2"/>
        <v>106.47</v>
      </c>
      <c r="Q29">
        <f t="shared" si="5"/>
        <v>95.94</v>
      </c>
    </row>
    <row r="30" spans="3:17" x14ac:dyDescent="0.25">
      <c r="C30" s="1">
        <v>42594</v>
      </c>
      <c r="D30">
        <v>108.44</v>
      </c>
      <c r="E30">
        <v>107.78</v>
      </c>
      <c r="F30">
        <v>108.18</v>
      </c>
      <c r="G30">
        <f t="shared" si="0"/>
        <v>108.94</v>
      </c>
      <c r="H30">
        <f t="shared" si="1"/>
        <v>104</v>
      </c>
      <c r="I30">
        <f t="shared" si="3"/>
        <v>108.94</v>
      </c>
      <c r="J30">
        <f t="shared" si="4"/>
        <v>96.05</v>
      </c>
      <c r="M30">
        <f t="shared" si="2"/>
        <v>106.47</v>
      </c>
      <c r="Q30">
        <f t="shared" si="5"/>
        <v>96.68</v>
      </c>
    </row>
    <row r="31" spans="3:17" x14ac:dyDescent="0.25">
      <c r="C31" s="1">
        <v>42597</v>
      </c>
      <c r="D31">
        <v>109.54</v>
      </c>
      <c r="E31">
        <v>108.08</v>
      </c>
      <c r="F31">
        <v>109.48</v>
      </c>
      <c r="G31">
        <f t="shared" si="0"/>
        <v>109.54</v>
      </c>
      <c r="H31">
        <f t="shared" si="1"/>
        <v>104.77</v>
      </c>
      <c r="I31">
        <f t="shared" si="3"/>
        <v>109.54</v>
      </c>
      <c r="J31">
        <f t="shared" si="4"/>
        <v>96.42</v>
      </c>
      <c r="M31">
        <f t="shared" si="2"/>
        <v>107.155</v>
      </c>
      <c r="Q31">
        <f t="shared" si="5"/>
        <v>96.98</v>
      </c>
    </row>
    <row r="32" spans="3:17" x14ac:dyDescent="0.25">
      <c r="C32" s="1">
        <v>42598</v>
      </c>
      <c r="D32">
        <v>110.23</v>
      </c>
      <c r="E32">
        <v>109.21</v>
      </c>
      <c r="F32">
        <v>109.38</v>
      </c>
      <c r="G32">
        <f t="shared" si="0"/>
        <v>110.23</v>
      </c>
      <c r="H32">
        <f t="shared" si="1"/>
        <v>105.28</v>
      </c>
      <c r="I32">
        <f t="shared" si="3"/>
        <v>110.23</v>
      </c>
      <c r="J32">
        <f t="shared" si="4"/>
        <v>96.42</v>
      </c>
      <c r="M32">
        <f t="shared" si="2"/>
        <v>107.755</v>
      </c>
      <c r="Q32">
        <f t="shared" si="5"/>
        <v>97.42</v>
      </c>
    </row>
    <row r="33" spans="3:17" x14ac:dyDescent="0.25">
      <c r="C33" s="1">
        <v>42599</v>
      </c>
      <c r="D33">
        <v>109.37</v>
      </c>
      <c r="E33">
        <v>108.34</v>
      </c>
      <c r="F33">
        <v>109.22</v>
      </c>
      <c r="G33">
        <f t="shared" si="0"/>
        <v>110.23</v>
      </c>
      <c r="H33">
        <f t="shared" si="1"/>
        <v>106.18</v>
      </c>
      <c r="I33">
        <f t="shared" si="3"/>
        <v>110.23</v>
      </c>
      <c r="J33">
        <f t="shared" si="4"/>
        <v>96.42</v>
      </c>
      <c r="M33">
        <f t="shared" si="2"/>
        <v>108.20500000000001</v>
      </c>
      <c r="Q33">
        <f t="shared" si="5"/>
        <v>96.87</v>
      </c>
    </row>
    <row r="34" spans="3:17" x14ac:dyDescent="0.25">
      <c r="C34" s="1">
        <v>42600</v>
      </c>
      <c r="D34">
        <v>109.6</v>
      </c>
      <c r="E34">
        <v>109.02</v>
      </c>
      <c r="F34">
        <v>109.08</v>
      </c>
      <c r="G34">
        <f t="shared" si="0"/>
        <v>110.23</v>
      </c>
      <c r="H34">
        <f t="shared" si="1"/>
        <v>107.16</v>
      </c>
      <c r="I34">
        <f t="shared" si="3"/>
        <v>110.23</v>
      </c>
      <c r="J34">
        <f t="shared" si="4"/>
        <v>96.42</v>
      </c>
      <c r="M34">
        <f t="shared" si="2"/>
        <v>108.69499999999999</v>
      </c>
      <c r="Q34">
        <f t="shared" si="5"/>
        <v>98.79</v>
      </c>
    </row>
    <row r="35" spans="3:17" x14ac:dyDescent="0.25">
      <c r="C35" s="1">
        <v>42601</v>
      </c>
      <c r="D35">
        <v>109.69</v>
      </c>
      <c r="E35">
        <v>108.36</v>
      </c>
      <c r="F35">
        <v>109.36</v>
      </c>
      <c r="G35">
        <f t="shared" si="0"/>
        <v>110.23</v>
      </c>
      <c r="H35">
        <f t="shared" si="1"/>
        <v>107.76</v>
      </c>
      <c r="I35">
        <f t="shared" si="3"/>
        <v>110.23</v>
      </c>
      <c r="J35">
        <f t="shared" si="4"/>
        <v>96.42</v>
      </c>
      <c r="M35">
        <f t="shared" si="2"/>
        <v>108.995</v>
      </c>
      <c r="Q35">
        <f t="shared" si="5"/>
        <v>98.78</v>
      </c>
    </row>
    <row r="36" spans="3:17" x14ac:dyDescent="0.25">
      <c r="C36" s="1">
        <v>42604</v>
      </c>
      <c r="D36">
        <v>109.1</v>
      </c>
      <c r="E36">
        <v>107.85</v>
      </c>
      <c r="F36">
        <v>108.51</v>
      </c>
      <c r="G36">
        <f t="shared" si="0"/>
        <v>110.23</v>
      </c>
      <c r="H36">
        <f t="shared" si="1"/>
        <v>107.76</v>
      </c>
      <c r="I36">
        <f t="shared" si="3"/>
        <v>110.23</v>
      </c>
      <c r="J36">
        <f t="shared" si="4"/>
        <v>96.42</v>
      </c>
      <c r="M36">
        <f t="shared" si="2"/>
        <v>108.995</v>
      </c>
      <c r="Q36">
        <f t="shared" si="5"/>
        <v>99.83</v>
      </c>
    </row>
    <row r="37" spans="3:17" x14ac:dyDescent="0.25">
      <c r="C37" s="1">
        <v>42605</v>
      </c>
      <c r="D37">
        <v>109.32</v>
      </c>
      <c r="E37">
        <v>108.53</v>
      </c>
      <c r="F37">
        <v>108.85</v>
      </c>
      <c r="G37">
        <f t="shared" si="0"/>
        <v>110.23</v>
      </c>
      <c r="H37">
        <f t="shared" si="1"/>
        <v>107.78</v>
      </c>
      <c r="I37">
        <f t="shared" si="3"/>
        <v>110.23</v>
      </c>
      <c r="J37">
        <f t="shared" si="4"/>
        <v>96.42</v>
      </c>
      <c r="M37">
        <f t="shared" si="2"/>
        <v>109.005</v>
      </c>
      <c r="Q37">
        <f t="shared" si="5"/>
        <v>99.87</v>
      </c>
    </row>
    <row r="38" spans="3:17" x14ac:dyDescent="0.25">
      <c r="C38" s="1">
        <v>42606</v>
      </c>
      <c r="D38">
        <v>108.75</v>
      </c>
      <c r="E38">
        <v>107.68</v>
      </c>
      <c r="F38">
        <v>108.03</v>
      </c>
      <c r="G38">
        <f t="shared" si="0"/>
        <v>110.23</v>
      </c>
      <c r="H38">
        <f t="shared" si="1"/>
        <v>107.68</v>
      </c>
      <c r="I38">
        <f t="shared" si="3"/>
        <v>110.23</v>
      </c>
      <c r="J38">
        <f t="shared" si="4"/>
        <v>96.42</v>
      </c>
      <c r="M38">
        <f t="shared" si="2"/>
        <v>108.95500000000001</v>
      </c>
      <c r="Q38">
        <f t="shared" si="5"/>
        <v>99.96</v>
      </c>
    </row>
    <row r="39" spans="3:17" x14ac:dyDescent="0.25">
      <c r="C39" s="1">
        <v>42607</v>
      </c>
      <c r="D39">
        <v>107.88</v>
      </c>
      <c r="E39">
        <v>106.68</v>
      </c>
      <c r="F39">
        <v>107.57</v>
      </c>
      <c r="G39">
        <f t="shared" si="0"/>
        <v>110.23</v>
      </c>
      <c r="H39">
        <f t="shared" si="1"/>
        <v>106.68</v>
      </c>
      <c r="I39">
        <f t="shared" si="3"/>
        <v>110.23</v>
      </c>
      <c r="J39">
        <f t="shared" si="4"/>
        <v>96.42</v>
      </c>
      <c r="M39">
        <f t="shared" si="2"/>
        <v>108.45500000000001</v>
      </c>
      <c r="Q39">
        <f t="shared" si="5"/>
        <v>99.43</v>
      </c>
    </row>
    <row r="40" spans="3:17" x14ac:dyDescent="0.25">
      <c r="C40" s="1">
        <v>42608</v>
      </c>
      <c r="D40">
        <v>107.95</v>
      </c>
      <c r="E40">
        <v>106.31</v>
      </c>
      <c r="F40">
        <v>106.94</v>
      </c>
      <c r="G40">
        <f t="shared" si="0"/>
        <v>110.23</v>
      </c>
      <c r="H40">
        <f t="shared" si="1"/>
        <v>106.31</v>
      </c>
      <c r="I40">
        <f t="shared" si="3"/>
        <v>110.23</v>
      </c>
      <c r="J40">
        <f t="shared" si="4"/>
        <v>96.42</v>
      </c>
      <c r="M40">
        <f t="shared" si="2"/>
        <v>108.27000000000001</v>
      </c>
      <c r="Q40">
        <f t="shared" si="5"/>
        <v>98.66</v>
      </c>
    </row>
    <row r="41" spans="3:17" x14ac:dyDescent="0.25">
      <c r="C41" s="1">
        <v>42611</v>
      </c>
      <c r="D41">
        <v>107.44</v>
      </c>
      <c r="E41">
        <v>106.29</v>
      </c>
      <c r="F41">
        <v>106.82</v>
      </c>
      <c r="G41">
        <f t="shared" si="0"/>
        <v>109.69</v>
      </c>
      <c r="H41">
        <f t="shared" si="1"/>
        <v>106.29</v>
      </c>
      <c r="I41">
        <f t="shared" si="3"/>
        <v>110.23</v>
      </c>
      <c r="J41">
        <f t="shared" si="4"/>
        <v>96.42</v>
      </c>
      <c r="M41">
        <f t="shared" si="2"/>
        <v>107.99000000000001</v>
      </c>
      <c r="Q41">
        <f t="shared" si="5"/>
        <v>97.34</v>
      </c>
    </row>
    <row r="42" spans="3:17" x14ac:dyDescent="0.25">
      <c r="C42" s="1">
        <v>42612</v>
      </c>
      <c r="D42">
        <v>106.5</v>
      </c>
      <c r="E42">
        <v>105.5</v>
      </c>
      <c r="F42">
        <v>106</v>
      </c>
      <c r="G42">
        <f t="shared" si="0"/>
        <v>109.69</v>
      </c>
      <c r="H42">
        <f t="shared" si="1"/>
        <v>105.5</v>
      </c>
      <c r="I42">
        <f t="shared" si="3"/>
        <v>110.23</v>
      </c>
      <c r="J42">
        <f t="shared" si="4"/>
        <v>96.42</v>
      </c>
      <c r="M42">
        <f t="shared" si="2"/>
        <v>107.595</v>
      </c>
      <c r="Q42">
        <f t="shared" si="5"/>
        <v>96.67</v>
      </c>
    </row>
    <row r="43" spans="3:17" x14ac:dyDescent="0.25">
      <c r="C43" s="1">
        <v>42613</v>
      </c>
      <c r="D43">
        <v>106.5699</v>
      </c>
      <c r="E43">
        <v>105.64</v>
      </c>
      <c r="F43">
        <v>106.1</v>
      </c>
      <c r="G43">
        <f t="shared" si="0"/>
        <v>109.69</v>
      </c>
      <c r="H43">
        <f t="shared" si="1"/>
        <v>105.5</v>
      </c>
      <c r="I43">
        <f t="shared" si="3"/>
        <v>110.23</v>
      </c>
      <c r="J43">
        <f t="shared" si="4"/>
        <v>102.75</v>
      </c>
      <c r="M43">
        <f t="shared" si="2"/>
        <v>107.595</v>
      </c>
      <c r="Q43">
        <f t="shared" si="5"/>
        <v>102.95</v>
      </c>
    </row>
    <row r="44" spans="3:17" x14ac:dyDescent="0.25">
      <c r="C44" s="1">
        <v>42614</v>
      </c>
      <c r="D44">
        <v>106.8</v>
      </c>
      <c r="E44">
        <v>105.62</v>
      </c>
      <c r="F44">
        <v>106.73</v>
      </c>
      <c r="G44">
        <f t="shared" si="0"/>
        <v>109.32</v>
      </c>
      <c r="H44">
        <f t="shared" si="1"/>
        <v>105.5</v>
      </c>
      <c r="I44">
        <f t="shared" si="3"/>
        <v>110.23</v>
      </c>
      <c r="J44">
        <f t="shared" si="4"/>
        <v>102.82</v>
      </c>
      <c r="M44">
        <f t="shared" si="2"/>
        <v>107.41</v>
      </c>
      <c r="Q44">
        <f t="shared" si="5"/>
        <v>104.34</v>
      </c>
    </row>
    <row r="45" spans="3:17" x14ac:dyDescent="0.25">
      <c r="C45" s="1">
        <v>42615</v>
      </c>
      <c r="D45">
        <v>108</v>
      </c>
      <c r="E45">
        <v>106.82</v>
      </c>
      <c r="F45">
        <v>107.73</v>
      </c>
      <c r="G45">
        <f t="shared" si="0"/>
        <v>109.32</v>
      </c>
      <c r="H45">
        <f t="shared" si="1"/>
        <v>105.5</v>
      </c>
      <c r="I45">
        <f t="shared" si="3"/>
        <v>110.23</v>
      </c>
      <c r="J45">
        <f t="shared" si="4"/>
        <v>103.68</v>
      </c>
      <c r="M45">
        <f t="shared" si="2"/>
        <v>107.41</v>
      </c>
      <c r="Q45">
        <f t="shared" si="5"/>
        <v>104.21</v>
      </c>
    </row>
    <row r="46" spans="3:17" x14ac:dyDescent="0.25">
      <c r="C46" s="1">
        <v>42619</v>
      </c>
      <c r="D46">
        <v>108.3</v>
      </c>
      <c r="E46">
        <v>107.51</v>
      </c>
      <c r="F46">
        <v>107.7</v>
      </c>
      <c r="G46">
        <f t="shared" si="0"/>
        <v>108.75</v>
      </c>
      <c r="H46">
        <f t="shared" si="1"/>
        <v>105.5</v>
      </c>
      <c r="I46">
        <f t="shared" si="3"/>
        <v>110.23</v>
      </c>
      <c r="J46">
        <f t="shared" si="4"/>
        <v>104</v>
      </c>
      <c r="M46">
        <f t="shared" si="2"/>
        <v>107.125</v>
      </c>
      <c r="Q46">
        <f t="shared" si="5"/>
        <v>106.05</v>
      </c>
    </row>
    <row r="47" spans="3:17" x14ac:dyDescent="0.25">
      <c r="C47" s="1">
        <v>42620</v>
      </c>
      <c r="D47">
        <v>108.76</v>
      </c>
      <c r="E47">
        <v>107.07</v>
      </c>
      <c r="F47">
        <v>108.36</v>
      </c>
      <c r="G47">
        <f t="shared" si="0"/>
        <v>108.76</v>
      </c>
      <c r="H47">
        <f t="shared" si="1"/>
        <v>105.5</v>
      </c>
      <c r="I47">
        <f t="shared" si="3"/>
        <v>110.23</v>
      </c>
      <c r="J47">
        <f t="shared" si="4"/>
        <v>104</v>
      </c>
      <c r="M47">
        <f t="shared" si="2"/>
        <v>107.13</v>
      </c>
      <c r="Q47">
        <f t="shared" si="5"/>
        <v>104.48</v>
      </c>
    </row>
    <row r="48" spans="3:17" x14ac:dyDescent="0.25">
      <c r="C48" s="1">
        <v>42621</v>
      </c>
      <c r="D48">
        <v>107.27</v>
      </c>
      <c r="E48">
        <v>105.24</v>
      </c>
      <c r="F48">
        <v>105.52</v>
      </c>
      <c r="G48">
        <f t="shared" si="0"/>
        <v>108.76</v>
      </c>
      <c r="H48">
        <f t="shared" si="1"/>
        <v>105.24</v>
      </c>
      <c r="I48">
        <f t="shared" si="3"/>
        <v>110.23</v>
      </c>
      <c r="J48">
        <f t="shared" si="4"/>
        <v>104.77</v>
      </c>
      <c r="M48">
        <f t="shared" si="2"/>
        <v>107</v>
      </c>
      <c r="Q48">
        <f t="shared" si="5"/>
        <v>105.79</v>
      </c>
    </row>
    <row r="49" spans="3:17" x14ac:dyDescent="0.25">
      <c r="C49" s="1">
        <v>42622</v>
      </c>
      <c r="D49">
        <v>105.72</v>
      </c>
      <c r="E49">
        <v>103.13</v>
      </c>
      <c r="F49">
        <v>103.13</v>
      </c>
      <c r="G49">
        <f t="shared" si="0"/>
        <v>108.76</v>
      </c>
      <c r="H49">
        <f t="shared" si="1"/>
        <v>103.13</v>
      </c>
      <c r="I49">
        <f t="shared" si="3"/>
        <v>110.23</v>
      </c>
      <c r="J49">
        <f t="shared" si="4"/>
        <v>103.13</v>
      </c>
      <c r="M49">
        <f t="shared" si="2"/>
        <v>105.94499999999999</v>
      </c>
      <c r="Q49">
        <f t="shared" si="5"/>
        <v>105.87</v>
      </c>
    </row>
    <row r="50" spans="3:17" x14ac:dyDescent="0.25">
      <c r="C50" s="1">
        <v>42625</v>
      </c>
      <c r="D50">
        <v>105.72</v>
      </c>
      <c r="E50">
        <v>102.53</v>
      </c>
      <c r="F50">
        <v>105.44</v>
      </c>
      <c r="G50">
        <f t="shared" si="0"/>
        <v>108.76</v>
      </c>
      <c r="H50">
        <f t="shared" si="1"/>
        <v>102.53</v>
      </c>
      <c r="I50">
        <f t="shared" si="3"/>
        <v>110.23</v>
      </c>
      <c r="J50">
        <f t="shared" si="4"/>
        <v>102.53</v>
      </c>
      <c r="M50">
        <f t="shared" si="2"/>
        <v>105.64500000000001</v>
      </c>
      <c r="Q50">
        <f t="shared" si="5"/>
        <v>107.48</v>
      </c>
    </row>
    <row r="51" spans="3:17" x14ac:dyDescent="0.25">
      <c r="C51" s="1">
        <v>42626</v>
      </c>
      <c r="D51">
        <v>108.79</v>
      </c>
      <c r="E51">
        <v>107.24</v>
      </c>
      <c r="F51">
        <v>107.95</v>
      </c>
      <c r="G51">
        <f t="shared" si="0"/>
        <v>108.79</v>
      </c>
      <c r="H51">
        <f t="shared" si="1"/>
        <v>102.53</v>
      </c>
      <c r="I51">
        <f t="shared" si="3"/>
        <v>110.23</v>
      </c>
      <c r="J51">
        <f t="shared" si="4"/>
        <v>102.53</v>
      </c>
      <c r="M51">
        <f t="shared" si="2"/>
        <v>105.66</v>
      </c>
      <c r="Q51">
        <f t="shared" si="5"/>
        <v>108.37</v>
      </c>
    </row>
    <row r="52" spans="3:17" x14ac:dyDescent="0.25">
      <c r="C52" s="1">
        <v>42627</v>
      </c>
      <c r="D52">
        <v>113.03</v>
      </c>
      <c r="E52">
        <v>108.6</v>
      </c>
      <c r="F52">
        <v>111.77</v>
      </c>
      <c r="G52">
        <f t="shared" si="0"/>
        <v>113.03</v>
      </c>
      <c r="H52">
        <f t="shared" si="1"/>
        <v>102.53</v>
      </c>
      <c r="I52">
        <f t="shared" si="3"/>
        <v>113.03</v>
      </c>
      <c r="J52">
        <f t="shared" si="4"/>
        <v>102.53</v>
      </c>
      <c r="M52">
        <f t="shared" si="2"/>
        <v>107.78</v>
      </c>
      <c r="Q52">
        <f t="shared" si="5"/>
        <v>108.81</v>
      </c>
    </row>
    <row r="53" spans="3:17" x14ac:dyDescent="0.25">
      <c r="C53" s="1">
        <v>42628</v>
      </c>
      <c r="D53">
        <v>115.73</v>
      </c>
      <c r="E53">
        <v>113.49</v>
      </c>
      <c r="F53">
        <v>115.57</v>
      </c>
      <c r="G53">
        <f t="shared" si="0"/>
        <v>115.73</v>
      </c>
      <c r="H53">
        <f t="shared" si="1"/>
        <v>102.53</v>
      </c>
      <c r="I53">
        <f t="shared" si="3"/>
        <v>115.73</v>
      </c>
      <c r="J53">
        <f t="shared" si="4"/>
        <v>102.53</v>
      </c>
      <c r="K53">
        <f>MAX($D2:$D53)</f>
        <v>115.73</v>
      </c>
      <c r="L53">
        <f>MIN($E2:$E53)</f>
        <v>94.37</v>
      </c>
      <c r="M53">
        <f t="shared" si="2"/>
        <v>109.13</v>
      </c>
      <c r="N53">
        <f>($G53 + $H53) / 2</f>
        <v>109.13</v>
      </c>
      <c r="Q53">
        <f t="shared" si="5"/>
        <v>108</v>
      </c>
    </row>
    <row r="54" spans="3:17" x14ac:dyDescent="0.25">
      <c r="C54" s="1">
        <v>42629</v>
      </c>
      <c r="D54">
        <v>116.13</v>
      </c>
      <c r="E54">
        <v>114.04</v>
      </c>
      <c r="F54">
        <v>114.92</v>
      </c>
      <c r="G54">
        <f t="shared" si="0"/>
        <v>116.13</v>
      </c>
      <c r="H54">
        <f t="shared" si="1"/>
        <v>102.53</v>
      </c>
      <c r="I54">
        <f t="shared" si="3"/>
        <v>116.13</v>
      </c>
      <c r="J54">
        <f t="shared" si="4"/>
        <v>102.53</v>
      </c>
      <c r="K54">
        <f t="shared" ref="K54:K117" si="6">MAX($D3:$D54)</f>
        <v>116.13</v>
      </c>
      <c r="L54">
        <f t="shared" ref="L54:L117" si="7">MIN($E3:$E54)</f>
        <v>94.37</v>
      </c>
      <c r="M54">
        <f t="shared" si="2"/>
        <v>109.33</v>
      </c>
      <c r="N54">
        <f t="shared" si="2"/>
        <v>109.33</v>
      </c>
      <c r="Q54">
        <f t="shared" si="5"/>
        <v>107.93</v>
      </c>
    </row>
    <row r="55" spans="3:17" x14ac:dyDescent="0.25">
      <c r="C55" s="1">
        <v>42632</v>
      </c>
      <c r="D55">
        <v>116.18</v>
      </c>
      <c r="E55">
        <v>113.25</v>
      </c>
      <c r="F55">
        <v>113.58</v>
      </c>
      <c r="G55">
        <f t="shared" si="0"/>
        <v>116.18</v>
      </c>
      <c r="H55">
        <f t="shared" si="1"/>
        <v>102.53</v>
      </c>
      <c r="I55">
        <f t="shared" si="3"/>
        <v>116.18</v>
      </c>
      <c r="J55">
        <f t="shared" si="4"/>
        <v>102.53</v>
      </c>
      <c r="K55">
        <f t="shared" si="6"/>
        <v>116.18</v>
      </c>
      <c r="L55">
        <f t="shared" si="7"/>
        <v>95.62</v>
      </c>
      <c r="M55">
        <f t="shared" si="2"/>
        <v>109.355</v>
      </c>
      <c r="N55">
        <f t="shared" si="2"/>
        <v>109.355</v>
      </c>
      <c r="Q55">
        <f t="shared" si="5"/>
        <v>108.18</v>
      </c>
    </row>
    <row r="56" spans="3:17" x14ac:dyDescent="0.25">
      <c r="C56" s="1">
        <v>42633</v>
      </c>
      <c r="D56">
        <v>114.12</v>
      </c>
      <c r="E56">
        <v>112.51</v>
      </c>
      <c r="F56">
        <v>113.57</v>
      </c>
      <c r="G56">
        <f t="shared" si="0"/>
        <v>116.18</v>
      </c>
      <c r="H56">
        <f t="shared" si="1"/>
        <v>102.53</v>
      </c>
      <c r="I56">
        <f t="shared" si="3"/>
        <v>116.18</v>
      </c>
      <c r="J56">
        <f t="shared" si="4"/>
        <v>102.53</v>
      </c>
      <c r="K56">
        <f t="shared" si="6"/>
        <v>116.18</v>
      </c>
      <c r="L56">
        <f t="shared" si="7"/>
        <v>96.05</v>
      </c>
      <c r="M56">
        <f t="shared" si="2"/>
        <v>109.355</v>
      </c>
      <c r="N56">
        <f t="shared" si="2"/>
        <v>109.355</v>
      </c>
      <c r="Q56">
        <f t="shared" si="5"/>
        <v>109.48</v>
      </c>
    </row>
    <row r="57" spans="3:17" x14ac:dyDescent="0.25">
      <c r="C57" s="1">
        <v>42634</v>
      </c>
      <c r="D57">
        <v>113.989</v>
      </c>
      <c r="E57">
        <v>112.441</v>
      </c>
      <c r="F57">
        <v>113.55</v>
      </c>
      <c r="G57">
        <f t="shared" si="0"/>
        <v>116.18</v>
      </c>
      <c r="H57">
        <f t="shared" si="1"/>
        <v>102.53</v>
      </c>
      <c r="I57">
        <f t="shared" si="3"/>
        <v>116.18</v>
      </c>
      <c r="J57">
        <f t="shared" si="4"/>
        <v>102.53</v>
      </c>
      <c r="K57">
        <f t="shared" si="6"/>
        <v>116.18</v>
      </c>
      <c r="L57">
        <f t="shared" si="7"/>
        <v>96.42</v>
      </c>
      <c r="M57">
        <f t="shared" si="2"/>
        <v>109.355</v>
      </c>
      <c r="N57">
        <f t="shared" si="2"/>
        <v>109.355</v>
      </c>
      <c r="Q57">
        <f t="shared" si="5"/>
        <v>109.38</v>
      </c>
    </row>
    <row r="58" spans="3:17" x14ac:dyDescent="0.25">
      <c r="C58" s="1">
        <v>42635</v>
      </c>
      <c r="D58">
        <v>114.94</v>
      </c>
      <c r="E58">
        <v>114</v>
      </c>
      <c r="F58">
        <v>114.62</v>
      </c>
      <c r="G58">
        <f t="shared" si="0"/>
        <v>116.18</v>
      </c>
      <c r="H58">
        <f t="shared" si="1"/>
        <v>102.53</v>
      </c>
      <c r="I58">
        <f t="shared" si="3"/>
        <v>116.18</v>
      </c>
      <c r="J58">
        <f t="shared" si="4"/>
        <v>102.53</v>
      </c>
      <c r="K58">
        <f t="shared" si="6"/>
        <v>116.18</v>
      </c>
      <c r="L58">
        <f t="shared" si="7"/>
        <v>96.42</v>
      </c>
      <c r="M58">
        <f t="shared" si="2"/>
        <v>109.355</v>
      </c>
      <c r="N58">
        <f t="shared" si="2"/>
        <v>109.355</v>
      </c>
      <c r="Q58">
        <f t="shared" si="5"/>
        <v>109.22</v>
      </c>
    </row>
    <row r="59" spans="3:17" x14ac:dyDescent="0.25">
      <c r="C59" s="1">
        <v>42636</v>
      </c>
      <c r="D59">
        <v>114.79</v>
      </c>
      <c r="E59">
        <v>111.55</v>
      </c>
      <c r="F59">
        <v>112.71</v>
      </c>
      <c r="G59">
        <f t="shared" si="0"/>
        <v>116.18</v>
      </c>
      <c r="H59">
        <f t="shared" si="1"/>
        <v>107.24</v>
      </c>
      <c r="I59">
        <f t="shared" si="3"/>
        <v>116.18</v>
      </c>
      <c r="J59">
        <f t="shared" si="4"/>
        <v>102.53</v>
      </c>
      <c r="K59">
        <f t="shared" si="6"/>
        <v>116.18</v>
      </c>
      <c r="L59">
        <f t="shared" si="7"/>
        <v>96.42</v>
      </c>
      <c r="M59">
        <f t="shared" si="2"/>
        <v>111.71000000000001</v>
      </c>
      <c r="N59">
        <f t="shared" si="2"/>
        <v>111.71000000000001</v>
      </c>
      <c r="Q59">
        <f t="shared" si="5"/>
        <v>109.08</v>
      </c>
    </row>
    <row r="60" spans="3:17" x14ac:dyDescent="0.25">
      <c r="C60" s="1">
        <v>42639</v>
      </c>
      <c r="D60">
        <v>113.39</v>
      </c>
      <c r="E60">
        <v>111.55</v>
      </c>
      <c r="F60">
        <v>112.88</v>
      </c>
      <c r="G60">
        <f t="shared" si="0"/>
        <v>116.18</v>
      </c>
      <c r="H60">
        <f t="shared" si="1"/>
        <v>108.6</v>
      </c>
      <c r="I60">
        <f t="shared" si="3"/>
        <v>116.18</v>
      </c>
      <c r="J60">
        <f t="shared" si="4"/>
        <v>102.53</v>
      </c>
      <c r="K60">
        <f t="shared" si="6"/>
        <v>116.18</v>
      </c>
      <c r="L60">
        <f t="shared" si="7"/>
        <v>96.42</v>
      </c>
      <c r="M60">
        <f t="shared" si="2"/>
        <v>112.39</v>
      </c>
      <c r="N60">
        <f t="shared" si="2"/>
        <v>112.39</v>
      </c>
      <c r="Q60">
        <f t="shared" si="5"/>
        <v>109.36</v>
      </c>
    </row>
    <row r="61" spans="3:17" x14ac:dyDescent="0.25">
      <c r="C61" s="1">
        <v>42640</v>
      </c>
      <c r="D61">
        <v>113.18</v>
      </c>
      <c r="E61">
        <v>112.34</v>
      </c>
      <c r="F61">
        <v>113.09</v>
      </c>
      <c r="G61">
        <f t="shared" si="0"/>
        <v>116.18</v>
      </c>
      <c r="H61">
        <f t="shared" si="1"/>
        <v>111.55</v>
      </c>
      <c r="I61">
        <f t="shared" si="3"/>
        <v>116.18</v>
      </c>
      <c r="J61">
        <f t="shared" si="4"/>
        <v>102.53</v>
      </c>
      <c r="K61">
        <f t="shared" si="6"/>
        <v>116.18</v>
      </c>
      <c r="L61">
        <f t="shared" si="7"/>
        <v>96.42</v>
      </c>
      <c r="M61">
        <f t="shared" si="2"/>
        <v>113.86500000000001</v>
      </c>
      <c r="N61">
        <f t="shared" si="2"/>
        <v>113.86500000000001</v>
      </c>
      <c r="Q61">
        <f t="shared" si="5"/>
        <v>108.51</v>
      </c>
    </row>
    <row r="62" spans="3:17" x14ac:dyDescent="0.25">
      <c r="C62" s="1">
        <v>42641</v>
      </c>
      <c r="D62">
        <v>114.64</v>
      </c>
      <c r="E62">
        <v>113.43</v>
      </c>
      <c r="F62">
        <v>113.95</v>
      </c>
      <c r="G62">
        <f t="shared" si="0"/>
        <v>116.18</v>
      </c>
      <c r="H62">
        <f t="shared" si="1"/>
        <v>111.55</v>
      </c>
      <c r="I62">
        <f t="shared" si="3"/>
        <v>116.18</v>
      </c>
      <c r="J62">
        <f t="shared" si="4"/>
        <v>102.53</v>
      </c>
      <c r="K62">
        <f t="shared" si="6"/>
        <v>116.18</v>
      </c>
      <c r="L62">
        <f t="shared" si="7"/>
        <v>96.42</v>
      </c>
      <c r="M62">
        <f t="shared" si="2"/>
        <v>113.86500000000001</v>
      </c>
      <c r="N62">
        <f t="shared" si="2"/>
        <v>113.86500000000001</v>
      </c>
      <c r="Q62">
        <f t="shared" si="5"/>
        <v>108.85</v>
      </c>
    </row>
    <row r="63" spans="3:17" x14ac:dyDescent="0.25">
      <c r="C63" s="1">
        <v>42642</v>
      </c>
      <c r="D63">
        <v>113.8</v>
      </c>
      <c r="E63">
        <v>111.8</v>
      </c>
      <c r="F63">
        <v>112.18</v>
      </c>
      <c r="G63">
        <f t="shared" si="0"/>
        <v>116.18</v>
      </c>
      <c r="H63">
        <f t="shared" si="1"/>
        <v>111.55</v>
      </c>
      <c r="I63">
        <f t="shared" si="3"/>
        <v>116.18</v>
      </c>
      <c r="J63">
        <f t="shared" si="4"/>
        <v>102.53</v>
      </c>
      <c r="K63">
        <f t="shared" si="6"/>
        <v>116.18</v>
      </c>
      <c r="L63">
        <f t="shared" si="7"/>
        <v>96.42</v>
      </c>
      <c r="M63">
        <f t="shared" si="2"/>
        <v>113.86500000000001</v>
      </c>
      <c r="N63">
        <f t="shared" si="2"/>
        <v>113.86500000000001</v>
      </c>
      <c r="Q63">
        <f t="shared" si="5"/>
        <v>108.03</v>
      </c>
    </row>
    <row r="64" spans="3:17" x14ac:dyDescent="0.25">
      <c r="C64" s="1">
        <v>42643</v>
      </c>
      <c r="D64">
        <v>113.37</v>
      </c>
      <c r="E64">
        <v>111.8</v>
      </c>
      <c r="F64">
        <v>113.05</v>
      </c>
      <c r="G64">
        <f t="shared" si="0"/>
        <v>114.94</v>
      </c>
      <c r="H64">
        <f t="shared" si="1"/>
        <v>111.55</v>
      </c>
      <c r="I64">
        <f t="shared" si="3"/>
        <v>116.18</v>
      </c>
      <c r="J64">
        <f t="shared" si="4"/>
        <v>102.53</v>
      </c>
      <c r="K64">
        <f t="shared" si="6"/>
        <v>116.18</v>
      </c>
      <c r="L64">
        <f t="shared" si="7"/>
        <v>96.42</v>
      </c>
      <c r="M64">
        <f t="shared" si="2"/>
        <v>113.245</v>
      </c>
      <c r="N64">
        <f t="shared" si="2"/>
        <v>113.245</v>
      </c>
      <c r="Q64">
        <f t="shared" si="5"/>
        <v>107.57</v>
      </c>
    </row>
    <row r="65" spans="3:17" x14ac:dyDescent="0.25">
      <c r="C65" s="1">
        <v>42646</v>
      </c>
      <c r="D65">
        <v>113.05</v>
      </c>
      <c r="E65">
        <v>112.28</v>
      </c>
      <c r="F65">
        <v>112.52</v>
      </c>
      <c r="G65">
        <f t="shared" si="0"/>
        <v>114.94</v>
      </c>
      <c r="H65">
        <f t="shared" si="1"/>
        <v>111.55</v>
      </c>
      <c r="I65">
        <f t="shared" si="3"/>
        <v>116.18</v>
      </c>
      <c r="J65">
        <f t="shared" si="4"/>
        <v>102.53</v>
      </c>
      <c r="K65">
        <f t="shared" si="6"/>
        <v>116.18</v>
      </c>
      <c r="L65">
        <f t="shared" si="7"/>
        <v>96.42</v>
      </c>
      <c r="M65">
        <f t="shared" si="2"/>
        <v>113.245</v>
      </c>
      <c r="N65">
        <f t="shared" si="2"/>
        <v>113.245</v>
      </c>
      <c r="Q65">
        <f t="shared" si="5"/>
        <v>106.94</v>
      </c>
    </row>
    <row r="66" spans="3:17" x14ac:dyDescent="0.25">
      <c r="C66" s="1">
        <v>42647</v>
      </c>
      <c r="D66">
        <v>114.31</v>
      </c>
      <c r="E66">
        <v>112.63</v>
      </c>
      <c r="F66">
        <v>113</v>
      </c>
      <c r="G66">
        <f t="shared" si="0"/>
        <v>114.94</v>
      </c>
      <c r="H66">
        <f t="shared" si="1"/>
        <v>111.55</v>
      </c>
      <c r="I66">
        <f t="shared" si="3"/>
        <v>116.18</v>
      </c>
      <c r="J66">
        <f t="shared" si="4"/>
        <v>102.53</v>
      </c>
      <c r="K66">
        <f t="shared" si="6"/>
        <v>116.18</v>
      </c>
      <c r="L66">
        <f t="shared" si="7"/>
        <v>96.42</v>
      </c>
      <c r="M66">
        <f t="shared" si="2"/>
        <v>113.245</v>
      </c>
      <c r="N66">
        <f t="shared" si="2"/>
        <v>113.245</v>
      </c>
      <c r="Q66">
        <f t="shared" si="5"/>
        <v>106.82</v>
      </c>
    </row>
    <row r="67" spans="3:17" x14ac:dyDescent="0.25">
      <c r="C67" s="1">
        <v>42648</v>
      </c>
      <c r="D67">
        <v>113.66</v>
      </c>
      <c r="E67">
        <v>112.69</v>
      </c>
      <c r="F67">
        <v>113.05</v>
      </c>
      <c r="G67">
        <f t="shared" si="0"/>
        <v>114.79</v>
      </c>
      <c r="H67">
        <f t="shared" si="1"/>
        <v>111.55</v>
      </c>
      <c r="I67">
        <f t="shared" si="3"/>
        <v>116.18</v>
      </c>
      <c r="J67">
        <f t="shared" si="4"/>
        <v>102.53</v>
      </c>
      <c r="K67">
        <f t="shared" si="6"/>
        <v>116.18</v>
      </c>
      <c r="L67">
        <f t="shared" si="7"/>
        <v>96.42</v>
      </c>
      <c r="M67">
        <f t="shared" si="2"/>
        <v>113.17</v>
      </c>
      <c r="N67">
        <f t="shared" si="2"/>
        <v>113.17</v>
      </c>
      <c r="Q67">
        <f t="shared" si="5"/>
        <v>106</v>
      </c>
    </row>
    <row r="68" spans="3:17" x14ac:dyDescent="0.25">
      <c r="C68" s="1">
        <v>42649</v>
      </c>
      <c r="D68">
        <v>114.34</v>
      </c>
      <c r="E68">
        <v>113.13</v>
      </c>
      <c r="F68">
        <v>113.89</v>
      </c>
      <c r="G68">
        <f t="shared" si="0"/>
        <v>114.64</v>
      </c>
      <c r="H68">
        <f t="shared" si="1"/>
        <v>111.55</v>
      </c>
      <c r="I68">
        <f t="shared" si="3"/>
        <v>116.18</v>
      </c>
      <c r="J68">
        <f t="shared" si="4"/>
        <v>102.53</v>
      </c>
      <c r="K68">
        <f t="shared" si="6"/>
        <v>116.18</v>
      </c>
      <c r="L68">
        <f t="shared" si="7"/>
        <v>96.42</v>
      </c>
      <c r="M68">
        <f t="shared" si="2"/>
        <v>113.095</v>
      </c>
      <c r="N68">
        <f t="shared" si="2"/>
        <v>113.095</v>
      </c>
      <c r="Q68">
        <f t="shared" si="5"/>
        <v>106.1</v>
      </c>
    </row>
    <row r="69" spans="3:17" x14ac:dyDescent="0.25">
      <c r="C69" s="1">
        <v>42650</v>
      </c>
      <c r="D69">
        <v>114.56</v>
      </c>
      <c r="E69">
        <v>113.51</v>
      </c>
      <c r="F69">
        <v>114.06</v>
      </c>
      <c r="G69">
        <f t="shared" si="0"/>
        <v>114.64</v>
      </c>
      <c r="H69">
        <f t="shared" si="1"/>
        <v>111.8</v>
      </c>
      <c r="I69">
        <f t="shared" si="3"/>
        <v>116.18</v>
      </c>
      <c r="J69">
        <f t="shared" si="4"/>
        <v>102.53</v>
      </c>
      <c r="K69">
        <f t="shared" si="6"/>
        <v>116.18</v>
      </c>
      <c r="L69">
        <f t="shared" si="7"/>
        <v>102.53</v>
      </c>
      <c r="M69">
        <f t="shared" si="2"/>
        <v>113.22</v>
      </c>
      <c r="N69">
        <f t="shared" si="2"/>
        <v>113.22</v>
      </c>
      <c r="Q69">
        <f t="shared" si="5"/>
        <v>106.73</v>
      </c>
    </row>
    <row r="70" spans="3:17" x14ac:dyDescent="0.25">
      <c r="C70" s="1">
        <v>42653</v>
      </c>
      <c r="D70">
        <v>116.75</v>
      </c>
      <c r="E70">
        <v>114.72</v>
      </c>
      <c r="F70">
        <v>116.05</v>
      </c>
      <c r="G70">
        <f t="shared" si="0"/>
        <v>116.75</v>
      </c>
      <c r="H70">
        <f t="shared" si="1"/>
        <v>111.8</v>
      </c>
      <c r="I70">
        <f t="shared" si="3"/>
        <v>116.75</v>
      </c>
      <c r="J70">
        <f t="shared" si="4"/>
        <v>102.53</v>
      </c>
      <c r="K70">
        <f t="shared" si="6"/>
        <v>116.75</v>
      </c>
      <c r="L70">
        <f t="shared" si="7"/>
        <v>102.53</v>
      </c>
      <c r="M70">
        <f t="shared" si="2"/>
        <v>114.27500000000001</v>
      </c>
      <c r="N70">
        <f t="shared" si="2"/>
        <v>114.27500000000001</v>
      </c>
      <c r="Q70">
        <f t="shared" si="5"/>
        <v>107.73</v>
      </c>
    </row>
    <row r="71" spans="3:17" x14ac:dyDescent="0.25">
      <c r="C71" s="1">
        <v>42654</v>
      </c>
      <c r="D71">
        <v>118.69</v>
      </c>
      <c r="E71">
        <v>116.2</v>
      </c>
      <c r="F71">
        <v>116.3</v>
      </c>
      <c r="G71">
        <f t="shared" si="0"/>
        <v>118.69</v>
      </c>
      <c r="H71">
        <f t="shared" si="1"/>
        <v>111.8</v>
      </c>
      <c r="I71">
        <f t="shared" si="3"/>
        <v>118.69</v>
      </c>
      <c r="J71">
        <f t="shared" si="4"/>
        <v>102.53</v>
      </c>
      <c r="K71">
        <f t="shared" si="6"/>
        <v>118.69</v>
      </c>
      <c r="L71">
        <f t="shared" si="7"/>
        <v>102.53</v>
      </c>
      <c r="M71">
        <f t="shared" si="2"/>
        <v>115.245</v>
      </c>
      <c r="N71">
        <f t="shared" si="2"/>
        <v>115.245</v>
      </c>
      <c r="Q71">
        <f t="shared" si="5"/>
        <v>107.7</v>
      </c>
    </row>
    <row r="72" spans="3:17" x14ac:dyDescent="0.25">
      <c r="C72" s="1">
        <v>42655</v>
      </c>
      <c r="D72">
        <v>117.98</v>
      </c>
      <c r="E72">
        <v>116.75</v>
      </c>
      <c r="F72">
        <v>117.34</v>
      </c>
      <c r="G72">
        <f t="shared" si="0"/>
        <v>118.69</v>
      </c>
      <c r="H72">
        <f t="shared" si="1"/>
        <v>111.8</v>
      </c>
      <c r="I72">
        <f t="shared" si="3"/>
        <v>118.69</v>
      </c>
      <c r="J72">
        <f t="shared" si="4"/>
        <v>102.53</v>
      </c>
      <c r="K72">
        <f t="shared" si="6"/>
        <v>118.69</v>
      </c>
      <c r="L72">
        <f t="shared" si="7"/>
        <v>102.53</v>
      </c>
      <c r="M72">
        <f t="shared" si="2"/>
        <v>115.245</v>
      </c>
      <c r="N72">
        <f t="shared" si="2"/>
        <v>115.245</v>
      </c>
      <c r="Q72">
        <f t="shared" si="5"/>
        <v>108.36</v>
      </c>
    </row>
    <row r="73" spans="3:17" x14ac:dyDescent="0.25">
      <c r="C73" s="1">
        <v>42656</v>
      </c>
      <c r="D73">
        <v>117.44</v>
      </c>
      <c r="E73">
        <v>115.72</v>
      </c>
      <c r="F73">
        <v>116.98</v>
      </c>
      <c r="G73">
        <f t="shared" si="0"/>
        <v>118.69</v>
      </c>
      <c r="H73">
        <f t="shared" si="1"/>
        <v>112.28</v>
      </c>
      <c r="I73">
        <f t="shared" si="3"/>
        <v>118.69</v>
      </c>
      <c r="J73">
        <f t="shared" si="4"/>
        <v>102.53</v>
      </c>
      <c r="K73">
        <f t="shared" si="6"/>
        <v>118.69</v>
      </c>
      <c r="L73">
        <f t="shared" si="7"/>
        <v>102.53</v>
      </c>
      <c r="M73">
        <f t="shared" si="2"/>
        <v>115.485</v>
      </c>
      <c r="N73">
        <f t="shared" si="2"/>
        <v>115.485</v>
      </c>
      <c r="Q73">
        <f t="shared" si="5"/>
        <v>105.52</v>
      </c>
    </row>
    <row r="74" spans="3:17" x14ac:dyDescent="0.25">
      <c r="C74" s="1">
        <v>42657</v>
      </c>
      <c r="D74">
        <v>118.17</v>
      </c>
      <c r="E74">
        <v>117.13</v>
      </c>
      <c r="F74">
        <v>117.63</v>
      </c>
      <c r="G74">
        <f t="shared" si="0"/>
        <v>118.69</v>
      </c>
      <c r="H74">
        <f t="shared" si="1"/>
        <v>112.63</v>
      </c>
      <c r="I74">
        <f t="shared" si="3"/>
        <v>118.69</v>
      </c>
      <c r="J74">
        <f t="shared" si="4"/>
        <v>102.53</v>
      </c>
      <c r="K74">
        <f t="shared" si="6"/>
        <v>118.69</v>
      </c>
      <c r="L74">
        <f t="shared" si="7"/>
        <v>102.53</v>
      </c>
      <c r="M74">
        <f t="shared" si="2"/>
        <v>115.66</v>
      </c>
      <c r="N74">
        <f t="shared" si="2"/>
        <v>115.66</v>
      </c>
      <c r="Q74">
        <f t="shared" si="5"/>
        <v>103.13</v>
      </c>
    </row>
    <row r="75" spans="3:17" x14ac:dyDescent="0.25">
      <c r="C75" s="1">
        <v>42660</v>
      </c>
      <c r="D75">
        <v>117.84</v>
      </c>
      <c r="E75">
        <v>116.78</v>
      </c>
      <c r="F75">
        <v>117.55</v>
      </c>
      <c r="G75">
        <f t="shared" ref="G75:G138" si="8">MAX($D67:$D75)</f>
        <v>118.69</v>
      </c>
      <c r="H75">
        <f t="shared" ref="H75:H138" si="9">MIN($E67:$E75)</f>
        <v>112.69</v>
      </c>
      <c r="I75">
        <f t="shared" si="3"/>
        <v>118.69</v>
      </c>
      <c r="J75">
        <f t="shared" si="4"/>
        <v>102.53</v>
      </c>
      <c r="K75">
        <f t="shared" si="6"/>
        <v>118.69</v>
      </c>
      <c r="L75">
        <f t="shared" si="7"/>
        <v>102.53</v>
      </c>
      <c r="M75">
        <f t="shared" ref="M75:N138" si="10">($G75 + $H75) / 2</f>
        <v>115.69</v>
      </c>
      <c r="N75">
        <f t="shared" si="10"/>
        <v>115.69</v>
      </c>
      <c r="Q75">
        <f t="shared" si="5"/>
        <v>105.44</v>
      </c>
    </row>
    <row r="76" spans="3:17" x14ac:dyDescent="0.25">
      <c r="C76" s="1">
        <v>42661</v>
      </c>
      <c r="D76">
        <v>118.21</v>
      </c>
      <c r="E76">
        <v>117.45</v>
      </c>
      <c r="F76">
        <v>117.47</v>
      </c>
      <c r="G76">
        <f t="shared" si="8"/>
        <v>118.69</v>
      </c>
      <c r="H76">
        <f t="shared" si="9"/>
        <v>113.13</v>
      </c>
      <c r="I76">
        <f t="shared" si="3"/>
        <v>118.69</v>
      </c>
      <c r="J76">
        <f t="shared" si="4"/>
        <v>107.24</v>
      </c>
      <c r="K76">
        <f t="shared" si="6"/>
        <v>118.69</v>
      </c>
      <c r="L76">
        <f t="shared" si="7"/>
        <v>102.53</v>
      </c>
      <c r="M76">
        <f t="shared" si="10"/>
        <v>115.91</v>
      </c>
      <c r="N76">
        <f t="shared" si="10"/>
        <v>115.91</v>
      </c>
      <c r="Q76">
        <f t="shared" si="5"/>
        <v>107.95</v>
      </c>
    </row>
    <row r="77" spans="3:17" x14ac:dyDescent="0.25">
      <c r="C77" s="1">
        <v>42662</v>
      </c>
      <c r="D77">
        <v>117.76</v>
      </c>
      <c r="E77">
        <v>113.8</v>
      </c>
      <c r="F77">
        <v>117.12</v>
      </c>
      <c r="G77">
        <f t="shared" si="8"/>
        <v>118.69</v>
      </c>
      <c r="H77">
        <f t="shared" si="9"/>
        <v>113.51</v>
      </c>
      <c r="I77">
        <f t="shared" si="3"/>
        <v>118.69</v>
      </c>
      <c r="J77">
        <f t="shared" si="4"/>
        <v>108.6</v>
      </c>
      <c r="K77">
        <f t="shared" si="6"/>
        <v>118.69</v>
      </c>
      <c r="L77">
        <f t="shared" si="7"/>
        <v>102.53</v>
      </c>
      <c r="M77">
        <f t="shared" si="10"/>
        <v>116.1</v>
      </c>
      <c r="N77">
        <f t="shared" si="10"/>
        <v>116.1</v>
      </c>
      <c r="Q77">
        <f t="shared" si="5"/>
        <v>111.77</v>
      </c>
    </row>
    <row r="78" spans="3:17" x14ac:dyDescent="0.25">
      <c r="C78" s="1">
        <v>42663</v>
      </c>
      <c r="D78">
        <v>117.38</v>
      </c>
      <c r="E78">
        <v>116.33</v>
      </c>
      <c r="F78">
        <v>117.06</v>
      </c>
      <c r="G78">
        <f t="shared" si="8"/>
        <v>118.69</v>
      </c>
      <c r="H78">
        <f t="shared" si="9"/>
        <v>113.8</v>
      </c>
      <c r="I78">
        <f t="shared" si="3"/>
        <v>118.69</v>
      </c>
      <c r="J78">
        <f t="shared" si="4"/>
        <v>111.55</v>
      </c>
      <c r="K78">
        <f t="shared" si="6"/>
        <v>118.69</v>
      </c>
      <c r="L78">
        <f t="shared" si="7"/>
        <v>102.53</v>
      </c>
      <c r="M78">
        <f t="shared" si="10"/>
        <v>116.245</v>
      </c>
      <c r="N78">
        <f t="shared" si="10"/>
        <v>116.245</v>
      </c>
      <c r="Q78">
        <f t="shared" si="5"/>
        <v>115.57</v>
      </c>
    </row>
    <row r="79" spans="3:17" x14ac:dyDescent="0.25">
      <c r="C79" s="1">
        <v>42664</v>
      </c>
      <c r="D79">
        <v>116.91</v>
      </c>
      <c r="E79">
        <v>116.28</v>
      </c>
      <c r="F79">
        <v>116.6</v>
      </c>
      <c r="G79">
        <f t="shared" si="8"/>
        <v>118.69</v>
      </c>
      <c r="H79">
        <f t="shared" si="9"/>
        <v>113.8</v>
      </c>
      <c r="I79">
        <f t="shared" si="3"/>
        <v>118.69</v>
      </c>
      <c r="J79">
        <f t="shared" si="4"/>
        <v>111.55</v>
      </c>
      <c r="K79">
        <f t="shared" si="6"/>
        <v>118.69</v>
      </c>
      <c r="L79">
        <f t="shared" si="7"/>
        <v>102.53</v>
      </c>
      <c r="M79">
        <f t="shared" si="10"/>
        <v>116.245</v>
      </c>
      <c r="N79">
        <f t="shared" si="10"/>
        <v>116.245</v>
      </c>
      <c r="O79">
        <f>($M53 + $N53)/2</f>
        <v>109.13</v>
      </c>
      <c r="P79">
        <f>($K53 + $L53)/2</f>
        <v>105.05000000000001</v>
      </c>
      <c r="Q79">
        <f t="shared" si="5"/>
        <v>114.92</v>
      </c>
    </row>
    <row r="80" spans="3:17" x14ac:dyDescent="0.25">
      <c r="C80" s="1">
        <v>42667</v>
      </c>
      <c r="D80">
        <v>117.74</v>
      </c>
      <c r="E80">
        <v>117</v>
      </c>
      <c r="F80">
        <v>117.65</v>
      </c>
      <c r="G80">
        <f t="shared" si="8"/>
        <v>118.21</v>
      </c>
      <c r="H80">
        <f t="shared" si="9"/>
        <v>113.8</v>
      </c>
      <c r="I80">
        <f t="shared" si="3"/>
        <v>118.69</v>
      </c>
      <c r="J80">
        <f t="shared" si="4"/>
        <v>111.55</v>
      </c>
      <c r="K80">
        <f t="shared" si="6"/>
        <v>118.69</v>
      </c>
      <c r="L80">
        <f t="shared" si="7"/>
        <v>102.53</v>
      </c>
      <c r="M80">
        <f t="shared" si="10"/>
        <v>116.005</v>
      </c>
      <c r="N80">
        <f t="shared" si="10"/>
        <v>116.005</v>
      </c>
      <c r="O80">
        <f t="shared" ref="O80:O143" si="11">($M54 + $N54)/2</f>
        <v>109.33</v>
      </c>
      <c r="P80">
        <f t="shared" ref="P80:P143" si="12">($K54 + $L54)/2</f>
        <v>105.25</v>
      </c>
      <c r="Q80">
        <f t="shared" si="5"/>
        <v>113.58</v>
      </c>
    </row>
    <row r="81" spans="3:17" x14ac:dyDescent="0.25">
      <c r="C81" s="1">
        <v>42668</v>
      </c>
      <c r="D81">
        <v>118.36</v>
      </c>
      <c r="E81">
        <v>117.31</v>
      </c>
      <c r="F81">
        <v>118.25</v>
      </c>
      <c r="G81">
        <f t="shared" si="8"/>
        <v>118.36</v>
      </c>
      <c r="H81">
        <f t="shared" si="9"/>
        <v>113.8</v>
      </c>
      <c r="I81">
        <f t="shared" si="3"/>
        <v>118.69</v>
      </c>
      <c r="J81">
        <f t="shared" si="4"/>
        <v>111.55</v>
      </c>
      <c r="K81">
        <f t="shared" si="6"/>
        <v>118.69</v>
      </c>
      <c r="L81">
        <f t="shared" si="7"/>
        <v>102.53</v>
      </c>
      <c r="M81">
        <f t="shared" si="10"/>
        <v>116.08</v>
      </c>
      <c r="N81">
        <f t="shared" si="10"/>
        <v>116.08</v>
      </c>
      <c r="O81">
        <f t="shared" si="11"/>
        <v>109.355</v>
      </c>
      <c r="P81">
        <f t="shared" si="12"/>
        <v>105.9</v>
      </c>
      <c r="Q81">
        <f t="shared" si="5"/>
        <v>113.57</v>
      </c>
    </row>
    <row r="82" spans="3:17" x14ac:dyDescent="0.25">
      <c r="C82" s="1">
        <v>42669</v>
      </c>
      <c r="D82">
        <v>115.7</v>
      </c>
      <c r="E82">
        <v>113.31</v>
      </c>
      <c r="F82">
        <v>115.59</v>
      </c>
      <c r="G82">
        <f t="shared" si="8"/>
        <v>118.36</v>
      </c>
      <c r="H82">
        <f t="shared" si="9"/>
        <v>113.31</v>
      </c>
      <c r="I82">
        <f t="shared" si="3"/>
        <v>118.69</v>
      </c>
      <c r="J82">
        <f t="shared" si="4"/>
        <v>111.55</v>
      </c>
      <c r="K82">
        <f t="shared" si="6"/>
        <v>118.69</v>
      </c>
      <c r="L82">
        <f t="shared" si="7"/>
        <v>102.53</v>
      </c>
      <c r="M82">
        <f t="shared" si="10"/>
        <v>115.83500000000001</v>
      </c>
      <c r="N82">
        <f t="shared" si="10"/>
        <v>115.83500000000001</v>
      </c>
      <c r="O82">
        <f t="shared" si="11"/>
        <v>109.355</v>
      </c>
      <c r="P82">
        <f t="shared" si="12"/>
        <v>106.11500000000001</v>
      </c>
      <c r="Q82">
        <f t="shared" si="5"/>
        <v>113.55</v>
      </c>
    </row>
    <row r="83" spans="3:17" x14ac:dyDescent="0.25">
      <c r="C83" s="1">
        <v>42670</v>
      </c>
      <c r="D83">
        <v>115.86</v>
      </c>
      <c r="E83">
        <v>114.1</v>
      </c>
      <c r="F83">
        <v>114.48</v>
      </c>
      <c r="G83">
        <f t="shared" si="8"/>
        <v>118.36</v>
      </c>
      <c r="H83">
        <f t="shared" si="9"/>
        <v>113.31</v>
      </c>
      <c r="I83">
        <f t="shared" si="3"/>
        <v>118.69</v>
      </c>
      <c r="J83">
        <f t="shared" si="4"/>
        <v>111.55</v>
      </c>
      <c r="K83">
        <f t="shared" si="6"/>
        <v>118.69</v>
      </c>
      <c r="L83">
        <f t="shared" si="7"/>
        <v>102.53</v>
      </c>
      <c r="M83">
        <f t="shared" si="10"/>
        <v>115.83500000000001</v>
      </c>
      <c r="N83">
        <f t="shared" si="10"/>
        <v>115.83500000000001</v>
      </c>
      <c r="O83">
        <f t="shared" si="11"/>
        <v>109.355</v>
      </c>
      <c r="P83">
        <f t="shared" si="12"/>
        <v>106.30000000000001</v>
      </c>
      <c r="Q83">
        <f t="shared" si="5"/>
        <v>114.62</v>
      </c>
    </row>
    <row r="84" spans="3:17" x14ac:dyDescent="0.25">
      <c r="C84" s="1">
        <v>42671</v>
      </c>
      <c r="D84">
        <v>115.21</v>
      </c>
      <c r="E84">
        <v>113.45</v>
      </c>
      <c r="F84">
        <v>113.72</v>
      </c>
      <c r="G84">
        <f t="shared" si="8"/>
        <v>118.36</v>
      </c>
      <c r="H84">
        <f t="shared" si="9"/>
        <v>113.31</v>
      </c>
      <c r="I84">
        <f t="shared" si="3"/>
        <v>118.69</v>
      </c>
      <c r="J84">
        <f t="shared" si="4"/>
        <v>111.55</v>
      </c>
      <c r="K84">
        <f t="shared" si="6"/>
        <v>118.69</v>
      </c>
      <c r="L84">
        <f t="shared" si="7"/>
        <v>102.53</v>
      </c>
      <c r="M84">
        <f t="shared" si="10"/>
        <v>115.83500000000001</v>
      </c>
      <c r="N84">
        <f t="shared" si="10"/>
        <v>115.83500000000001</v>
      </c>
      <c r="O84">
        <f t="shared" si="11"/>
        <v>109.355</v>
      </c>
      <c r="P84">
        <f t="shared" si="12"/>
        <v>106.30000000000001</v>
      </c>
      <c r="Q84">
        <f t="shared" si="5"/>
        <v>112.71</v>
      </c>
    </row>
    <row r="85" spans="3:17" x14ac:dyDescent="0.25">
      <c r="C85" s="1">
        <v>42674</v>
      </c>
      <c r="D85">
        <v>114.23</v>
      </c>
      <c r="E85">
        <v>113.2</v>
      </c>
      <c r="F85">
        <v>113.54</v>
      </c>
      <c r="G85">
        <f t="shared" si="8"/>
        <v>118.36</v>
      </c>
      <c r="H85">
        <f t="shared" si="9"/>
        <v>113.2</v>
      </c>
      <c r="I85">
        <f t="shared" si="3"/>
        <v>118.69</v>
      </c>
      <c r="J85">
        <f t="shared" si="4"/>
        <v>111.55</v>
      </c>
      <c r="K85">
        <f t="shared" si="6"/>
        <v>118.69</v>
      </c>
      <c r="L85">
        <f t="shared" si="7"/>
        <v>102.53</v>
      </c>
      <c r="M85">
        <f t="shared" si="10"/>
        <v>115.78</v>
      </c>
      <c r="N85">
        <f t="shared" si="10"/>
        <v>115.78</v>
      </c>
      <c r="O85">
        <f t="shared" si="11"/>
        <v>111.71000000000001</v>
      </c>
      <c r="P85">
        <f t="shared" si="12"/>
        <v>106.30000000000001</v>
      </c>
      <c r="Q85">
        <f t="shared" si="5"/>
        <v>112.88</v>
      </c>
    </row>
    <row r="86" spans="3:17" x14ac:dyDescent="0.25">
      <c r="C86" s="1">
        <v>42675</v>
      </c>
      <c r="D86">
        <v>113.77</v>
      </c>
      <c r="E86">
        <v>110.53</v>
      </c>
      <c r="F86">
        <v>111.49</v>
      </c>
      <c r="G86">
        <f t="shared" si="8"/>
        <v>118.36</v>
      </c>
      <c r="H86">
        <f t="shared" si="9"/>
        <v>110.53</v>
      </c>
      <c r="I86">
        <f t="shared" si="3"/>
        <v>118.69</v>
      </c>
      <c r="J86">
        <f t="shared" si="4"/>
        <v>110.53</v>
      </c>
      <c r="K86">
        <f t="shared" si="6"/>
        <v>118.69</v>
      </c>
      <c r="L86">
        <f t="shared" si="7"/>
        <v>102.53</v>
      </c>
      <c r="M86">
        <f t="shared" si="10"/>
        <v>114.44499999999999</v>
      </c>
      <c r="N86">
        <f t="shared" si="10"/>
        <v>114.44499999999999</v>
      </c>
      <c r="O86">
        <f t="shared" si="11"/>
        <v>112.39</v>
      </c>
      <c r="P86">
        <f t="shared" si="12"/>
        <v>106.30000000000001</v>
      </c>
      <c r="Q86">
        <f t="shared" si="5"/>
        <v>113.09</v>
      </c>
    </row>
    <row r="87" spans="3:17" x14ac:dyDescent="0.25">
      <c r="C87" s="1">
        <v>42676</v>
      </c>
      <c r="D87">
        <v>112.35</v>
      </c>
      <c r="E87">
        <v>111.23</v>
      </c>
      <c r="F87">
        <v>111.59</v>
      </c>
      <c r="G87">
        <f t="shared" si="8"/>
        <v>118.36</v>
      </c>
      <c r="H87">
        <f t="shared" si="9"/>
        <v>110.53</v>
      </c>
      <c r="I87">
        <f t="shared" si="3"/>
        <v>118.69</v>
      </c>
      <c r="J87">
        <f t="shared" si="4"/>
        <v>110.53</v>
      </c>
      <c r="K87">
        <f t="shared" si="6"/>
        <v>118.69</v>
      </c>
      <c r="L87">
        <f t="shared" si="7"/>
        <v>102.53</v>
      </c>
      <c r="M87">
        <f t="shared" si="10"/>
        <v>114.44499999999999</v>
      </c>
      <c r="N87">
        <f t="shared" si="10"/>
        <v>114.44499999999999</v>
      </c>
      <c r="O87">
        <f t="shared" si="11"/>
        <v>113.86500000000001</v>
      </c>
      <c r="P87">
        <f t="shared" si="12"/>
        <v>106.30000000000001</v>
      </c>
      <c r="Q87">
        <f t="shared" si="5"/>
        <v>113.95</v>
      </c>
    </row>
    <row r="88" spans="3:17" x14ac:dyDescent="0.25">
      <c r="C88" s="1">
        <v>42677</v>
      </c>
      <c r="D88">
        <v>111.46</v>
      </c>
      <c r="E88">
        <v>109.55</v>
      </c>
      <c r="F88">
        <v>109.83</v>
      </c>
      <c r="G88">
        <f t="shared" si="8"/>
        <v>118.36</v>
      </c>
      <c r="H88">
        <f t="shared" si="9"/>
        <v>109.55</v>
      </c>
      <c r="I88">
        <f t="shared" si="3"/>
        <v>118.69</v>
      </c>
      <c r="J88">
        <f t="shared" si="4"/>
        <v>109.55</v>
      </c>
      <c r="K88">
        <f t="shared" si="6"/>
        <v>118.69</v>
      </c>
      <c r="L88">
        <f t="shared" si="7"/>
        <v>102.53</v>
      </c>
      <c r="M88">
        <f t="shared" si="10"/>
        <v>113.955</v>
      </c>
      <c r="N88">
        <f t="shared" si="10"/>
        <v>113.955</v>
      </c>
      <c r="O88">
        <f t="shared" si="11"/>
        <v>113.86500000000001</v>
      </c>
      <c r="P88">
        <f t="shared" si="12"/>
        <v>106.30000000000001</v>
      </c>
      <c r="Q88">
        <f t="shared" si="5"/>
        <v>112.18</v>
      </c>
    </row>
    <row r="89" spans="3:17" x14ac:dyDescent="0.25">
      <c r="C89" s="1">
        <v>42678</v>
      </c>
      <c r="D89">
        <v>110.25</v>
      </c>
      <c r="E89">
        <v>108.11</v>
      </c>
      <c r="F89">
        <v>108.84</v>
      </c>
      <c r="G89">
        <f t="shared" si="8"/>
        <v>118.36</v>
      </c>
      <c r="H89">
        <f t="shared" si="9"/>
        <v>108.11</v>
      </c>
      <c r="I89">
        <f t="shared" si="3"/>
        <v>118.69</v>
      </c>
      <c r="J89">
        <f t="shared" si="4"/>
        <v>108.11</v>
      </c>
      <c r="K89">
        <f t="shared" si="6"/>
        <v>118.69</v>
      </c>
      <c r="L89">
        <f t="shared" si="7"/>
        <v>102.53</v>
      </c>
      <c r="M89">
        <f t="shared" si="10"/>
        <v>113.235</v>
      </c>
      <c r="N89">
        <f t="shared" si="10"/>
        <v>113.235</v>
      </c>
      <c r="O89">
        <f t="shared" si="11"/>
        <v>113.86500000000001</v>
      </c>
      <c r="P89">
        <f t="shared" si="12"/>
        <v>106.30000000000001</v>
      </c>
      <c r="Q89">
        <f t="shared" si="5"/>
        <v>113.05</v>
      </c>
    </row>
    <row r="90" spans="3:17" x14ac:dyDescent="0.25">
      <c r="C90" s="1">
        <v>42681</v>
      </c>
      <c r="D90">
        <v>110.51</v>
      </c>
      <c r="E90">
        <v>109.46</v>
      </c>
      <c r="F90">
        <v>110.41</v>
      </c>
      <c r="G90">
        <f t="shared" si="8"/>
        <v>115.86</v>
      </c>
      <c r="H90">
        <f t="shared" si="9"/>
        <v>108.11</v>
      </c>
      <c r="I90">
        <f t="shared" si="3"/>
        <v>118.69</v>
      </c>
      <c r="J90">
        <f t="shared" si="4"/>
        <v>108.11</v>
      </c>
      <c r="K90">
        <f t="shared" si="6"/>
        <v>118.69</v>
      </c>
      <c r="L90">
        <f t="shared" si="7"/>
        <v>102.53</v>
      </c>
      <c r="M90">
        <f t="shared" si="10"/>
        <v>111.985</v>
      </c>
      <c r="N90">
        <f t="shared" si="10"/>
        <v>111.985</v>
      </c>
      <c r="O90">
        <f t="shared" si="11"/>
        <v>113.245</v>
      </c>
      <c r="P90">
        <f t="shared" si="12"/>
        <v>106.30000000000001</v>
      </c>
      <c r="Q90">
        <f t="shared" si="5"/>
        <v>112.52</v>
      </c>
    </row>
    <row r="91" spans="3:17" x14ac:dyDescent="0.25">
      <c r="C91" s="1">
        <v>42682</v>
      </c>
      <c r="D91">
        <v>111.72</v>
      </c>
      <c r="E91">
        <v>109.7</v>
      </c>
      <c r="F91">
        <v>111.06</v>
      </c>
      <c r="G91">
        <f t="shared" si="8"/>
        <v>115.86</v>
      </c>
      <c r="H91">
        <f t="shared" si="9"/>
        <v>108.11</v>
      </c>
      <c r="I91">
        <f t="shared" si="3"/>
        <v>118.69</v>
      </c>
      <c r="J91">
        <f t="shared" si="4"/>
        <v>108.11</v>
      </c>
      <c r="K91">
        <f t="shared" si="6"/>
        <v>118.69</v>
      </c>
      <c r="L91">
        <f t="shared" si="7"/>
        <v>102.53</v>
      </c>
      <c r="M91">
        <f t="shared" si="10"/>
        <v>111.985</v>
      </c>
      <c r="N91">
        <f t="shared" si="10"/>
        <v>111.985</v>
      </c>
      <c r="O91">
        <f t="shared" si="11"/>
        <v>113.245</v>
      </c>
      <c r="P91">
        <f t="shared" si="12"/>
        <v>106.30000000000001</v>
      </c>
      <c r="Q91">
        <f t="shared" si="5"/>
        <v>113</v>
      </c>
    </row>
    <row r="92" spans="3:17" x14ac:dyDescent="0.25">
      <c r="C92" s="1">
        <v>42683</v>
      </c>
      <c r="D92">
        <v>111.32</v>
      </c>
      <c r="E92">
        <v>108.05</v>
      </c>
      <c r="F92">
        <v>110.88</v>
      </c>
      <c r="G92">
        <f t="shared" si="8"/>
        <v>115.21</v>
      </c>
      <c r="H92">
        <f t="shared" si="9"/>
        <v>108.05</v>
      </c>
      <c r="I92">
        <f t="shared" ref="I92:I155" si="13">MAX($D67:$D92)</f>
        <v>118.69</v>
      </c>
      <c r="J92">
        <f t="shared" ref="J92:J155" si="14">MIN($E67:$E92)</f>
        <v>108.05</v>
      </c>
      <c r="K92">
        <f t="shared" si="6"/>
        <v>118.69</v>
      </c>
      <c r="L92">
        <f t="shared" si="7"/>
        <v>102.53</v>
      </c>
      <c r="M92">
        <f t="shared" si="10"/>
        <v>111.63</v>
      </c>
      <c r="N92">
        <f t="shared" si="10"/>
        <v>111.63</v>
      </c>
      <c r="O92">
        <f t="shared" si="11"/>
        <v>113.245</v>
      </c>
      <c r="P92">
        <f t="shared" si="12"/>
        <v>106.30000000000001</v>
      </c>
      <c r="Q92">
        <f t="shared" ref="Q92:Q155" si="15">$F67</f>
        <v>113.05</v>
      </c>
    </row>
    <row r="93" spans="3:17" x14ac:dyDescent="0.25">
      <c r="C93" s="1">
        <v>42684</v>
      </c>
      <c r="D93">
        <v>111.09</v>
      </c>
      <c r="E93">
        <v>105.83</v>
      </c>
      <c r="F93">
        <v>107.79</v>
      </c>
      <c r="G93">
        <f t="shared" si="8"/>
        <v>114.23</v>
      </c>
      <c r="H93">
        <f t="shared" si="9"/>
        <v>105.83</v>
      </c>
      <c r="I93">
        <f t="shared" si="13"/>
        <v>118.69</v>
      </c>
      <c r="J93">
        <f t="shared" si="14"/>
        <v>105.83</v>
      </c>
      <c r="K93">
        <f t="shared" si="6"/>
        <v>118.69</v>
      </c>
      <c r="L93">
        <f t="shared" si="7"/>
        <v>102.53</v>
      </c>
      <c r="M93">
        <f t="shared" si="10"/>
        <v>110.03</v>
      </c>
      <c r="N93">
        <f t="shared" si="10"/>
        <v>110.03</v>
      </c>
      <c r="O93">
        <f t="shared" si="11"/>
        <v>113.17</v>
      </c>
      <c r="P93">
        <f t="shared" si="12"/>
        <v>106.30000000000001</v>
      </c>
      <c r="Q93">
        <f t="shared" si="15"/>
        <v>113.89</v>
      </c>
    </row>
    <row r="94" spans="3:17" x14ac:dyDescent="0.25">
      <c r="C94" s="1">
        <v>42685</v>
      </c>
      <c r="D94">
        <v>108.87</v>
      </c>
      <c r="E94">
        <v>106.55</v>
      </c>
      <c r="F94">
        <v>108.43</v>
      </c>
      <c r="G94">
        <f t="shared" si="8"/>
        <v>113.77</v>
      </c>
      <c r="H94">
        <f t="shared" si="9"/>
        <v>105.83</v>
      </c>
      <c r="I94">
        <f t="shared" si="13"/>
        <v>118.69</v>
      </c>
      <c r="J94">
        <f t="shared" si="14"/>
        <v>105.83</v>
      </c>
      <c r="K94">
        <f t="shared" si="6"/>
        <v>118.69</v>
      </c>
      <c r="L94">
        <f t="shared" si="7"/>
        <v>102.53</v>
      </c>
      <c r="M94">
        <f t="shared" si="10"/>
        <v>109.8</v>
      </c>
      <c r="N94">
        <f t="shared" si="10"/>
        <v>109.8</v>
      </c>
      <c r="O94">
        <f t="shared" si="11"/>
        <v>113.095</v>
      </c>
      <c r="P94">
        <f t="shared" si="12"/>
        <v>106.30000000000001</v>
      </c>
      <c r="Q94">
        <f t="shared" si="15"/>
        <v>114.06</v>
      </c>
    </row>
    <row r="95" spans="3:17" x14ac:dyDescent="0.25">
      <c r="C95" s="1">
        <v>42688</v>
      </c>
      <c r="D95">
        <v>107.809</v>
      </c>
      <c r="E95">
        <v>104.08</v>
      </c>
      <c r="F95">
        <v>105.71</v>
      </c>
      <c r="G95">
        <f t="shared" si="8"/>
        <v>112.35</v>
      </c>
      <c r="H95">
        <f t="shared" si="9"/>
        <v>104.08</v>
      </c>
      <c r="I95">
        <f t="shared" si="13"/>
        <v>118.69</v>
      </c>
      <c r="J95">
        <f t="shared" si="14"/>
        <v>104.08</v>
      </c>
      <c r="K95">
        <f t="shared" si="6"/>
        <v>118.69</v>
      </c>
      <c r="L95">
        <f t="shared" si="7"/>
        <v>102.53</v>
      </c>
      <c r="M95">
        <f t="shared" si="10"/>
        <v>108.215</v>
      </c>
      <c r="N95">
        <f t="shared" si="10"/>
        <v>108.215</v>
      </c>
      <c r="O95">
        <f t="shared" si="11"/>
        <v>113.22</v>
      </c>
      <c r="P95">
        <f t="shared" si="12"/>
        <v>109.355</v>
      </c>
      <c r="Q95">
        <f t="shared" si="15"/>
        <v>116.05</v>
      </c>
    </row>
    <row r="96" spans="3:17" x14ac:dyDescent="0.25">
      <c r="C96" s="1">
        <v>42689</v>
      </c>
      <c r="D96">
        <v>107.68</v>
      </c>
      <c r="E96">
        <v>106.1593</v>
      </c>
      <c r="F96">
        <v>107.11</v>
      </c>
      <c r="G96">
        <f t="shared" si="8"/>
        <v>111.72</v>
      </c>
      <c r="H96">
        <f t="shared" si="9"/>
        <v>104.08</v>
      </c>
      <c r="I96">
        <f t="shared" si="13"/>
        <v>118.69</v>
      </c>
      <c r="J96">
        <f t="shared" si="14"/>
        <v>104.08</v>
      </c>
      <c r="K96">
        <f t="shared" si="6"/>
        <v>118.69</v>
      </c>
      <c r="L96">
        <f t="shared" si="7"/>
        <v>102.53</v>
      </c>
      <c r="M96">
        <f t="shared" si="10"/>
        <v>107.9</v>
      </c>
      <c r="N96">
        <f t="shared" si="10"/>
        <v>107.9</v>
      </c>
      <c r="O96">
        <f t="shared" si="11"/>
        <v>114.27500000000001</v>
      </c>
      <c r="P96">
        <f t="shared" si="12"/>
        <v>109.64</v>
      </c>
      <c r="Q96">
        <f t="shared" si="15"/>
        <v>116.3</v>
      </c>
    </row>
    <row r="97" spans="3:17" x14ac:dyDescent="0.25">
      <c r="C97" s="1">
        <v>42690</v>
      </c>
      <c r="D97">
        <v>110.23</v>
      </c>
      <c r="E97">
        <v>106.6</v>
      </c>
      <c r="F97">
        <v>109.99</v>
      </c>
      <c r="G97">
        <f t="shared" si="8"/>
        <v>111.72</v>
      </c>
      <c r="H97">
        <f t="shared" si="9"/>
        <v>104.08</v>
      </c>
      <c r="I97">
        <f t="shared" si="13"/>
        <v>118.36</v>
      </c>
      <c r="J97">
        <f t="shared" si="14"/>
        <v>104.08</v>
      </c>
      <c r="K97">
        <f t="shared" si="6"/>
        <v>118.69</v>
      </c>
      <c r="L97">
        <f t="shared" si="7"/>
        <v>102.53</v>
      </c>
      <c r="M97">
        <f t="shared" si="10"/>
        <v>107.9</v>
      </c>
      <c r="N97">
        <f t="shared" si="10"/>
        <v>107.9</v>
      </c>
      <c r="O97">
        <f t="shared" si="11"/>
        <v>115.245</v>
      </c>
      <c r="P97">
        <f t="shared" si="12"/>
        <v>110.61</v>
      </c>
      <c r="Q97">
        <f t="shared" si="15"/>
        <v>117.34</v>
      </c>
    </row>
    <row r="98" spans="3:17" x14ac:dyDescent="0.25">
      <c r="C98" s="1">
        <v>42691</v>
      </c>
      <c r="D98">
        <v>110.35</v>
      </c>
      <c r="E98">
        <v>108.83</v>
      </c>
      <c r="F98">
        <v>109.95</v>
      </c>
      <c r="G98">
        <f t="shared" si="8"/>
        <v>111.72</v>
      </c>
      <c r="H98">
        <f t="shared" si="9"/>
        <v>104.08</v>
      </c>
      <c r="I98">
        <f t="shared" si="13"/>
        <v>118.36</v>
      </c>
      <c r="J98">
        <f t="shared" si="14"/>
        <v>104.08</v>
      </c>
      <c r="K98">
        <f t="shared" si="6"/>
        <v>118.69</v>
      </c>
      <c r="L98">
        <f t="shared" si="7"/>
        <v>102.53</v>
      </c>
      <c r="M98">
        <f t="shared" si="10"/>
        <v>107.9</v>
      </c>
      <c r="N98">
        <f t="shared" si="10"/>
        <v>107.9</v>
      </c>
      <c r="O98">
        <f t="shared" si="11"/>
        <v>115.245</v>
      </c>
      <c r="P98">
        <f t="shared" si="12"/>
        <v>110.61</v>
      </c>
      <c r="Q98">
        <f t="shared" si="15"/>
        <v>116.98</v>
      </c>
    </row>
    <row r="99" spans="3:17" x14ac:dyDescent="0.25">
      <c r="C99" s="1">
        <v>42692</v>
      </c>
      <c r="D99">
        <v>110.54</v>
      </c>
      <c r="E99">
        <v>109.66</v>
      </c>
      <c r="F99">
        <v>110.06</v>
      </c>
      <c r="G99">
        <f t="shared" si="8"/>
        <v>111.72</v>
      </c>
      <c r="H99">
        <f t="shared" si="9"/>
        <v>104.08</v>
      </c>
      <c r="I99">
        <f t="shared" si="13"/>
        <v>118.36</v>
      </c>
      <c r="J99">
        <f t="shared" si="14"/>
        <v>104.08</v>
      </c>
      <c r="K99">
        <f t="shared" si="6"/>
        <v>118.69</v>
      </c>
      <c r="L99">
        <f t="shared" si="7"/>
        <v>102.53</v>
      </c>
      <c r="M99">
        <f t="shared" si="10"/>
        <v>107.9</v>
      </c>
      <c r="N99">
        <f t="shared" si="10"/>
        <v>107.9</v>
      </c>
      <c r="O99">
        <f t="shared" si="11"/>
        <v>115.485</v>
      </c>
      <c r="P99">
        <f t="shared" si="12"/>
        <v>110.61</v>
      </c>
      <c r="Q99">
        <f t="shared" si="15"/>
        <v>117.63</v>
      </c>
    </row>
    <row r="100" spans="3:17" x14ac:dyDescent="0.25">
      <c r="C100" s="1">
        <v>42695</v>
      </c>
      <c r="D100">
        <v>111.99</v>
      </c>
      <c r="E100">
        <v>110.01</v>
      </c>
      <c r="F100">
        <v>111.73</v>
      </c>
      <c r="G100">
        <f t="shared" si="8"/>
        <v>111.99</v>
      </c>
      <c r="H100">
        <f t="shared" si="9"/>
        <v>104.08</v>
      </c>
      <c r="I100">
        <f t="shared" si="13"/>
        <v>118.36</v>
      </c>
      <c r="J100">
        <f t="shared" si="14"/>
        <v>104.08</v>
      </c>
      <c r="K100">
        <f t="shared" si="6"/>
        <v>118.69</v>
      </c>
      <c r="L100">
        <f t="shared" si="7"/>
        <v>102.53</v>
      </c>
      <c r="M100">
        <f t="shared" si="10"/>
        <v>108.035</v>
      </c>
      <c r="N100">
        <f t="shared" si="10"/>
        <v>108.035</v>
      </c>
      <c r="O100">
        <f t="shared" si="11"/>
        <v>115.66</v>
      </c>
      <c r="P100">
        <f t="shared" si="12"/>
        <v>110.61</v>
      </c>
      <c r="Q100">
        <f t="shared" si="15"/>
        <v>117.55</v>
      </c>
    </row>
    <row r="101" spans="3:17" x14ac:dyDescent="0.25">
      <c r="C101" s="1">
        <v>42696</v>
      </c>
      <c r="D101">
        <v>112.42</v>
      </c>
      <c r="E101">
        <v>111.4</v>
      </c>
      <c r="F101">
        <v>111.8</v>
      </c>
      <c r="G101">
        <f t="shared" si="8"/>
        <v>112.42</v>
      </c>
      <c r="H101">
        <f t="shared" si="9"/>
        <v>104.08</v>
      </c>
      <c r="I101">
        <f t="shared" si="13"/>
        <v>118.36</v>
      </c>
      <c r="J101">
        <f t="shared" si="14"/>
        <v>104.08</v>
      </c>
      <c r="K101">
        <f t="shared" si="6"/>
        <v>118.69</v>
      </c>
      <c r="L101">
        <f t="shared" si="7"/>
        <v>102.53</v>
      </c>
      <c r="M101">
        <f t="shared" si="10"/>
        <v>108.25</v>
      </c>
      <c r="N101">
        <f t="shared" si="10"/>
        <v>108.25</v>
      </c>
      <c r="O101">
        <f t="shared" si="11"/>
        <v>115.69</v>
      </c>
      <c r="P101">
        <f t="shared" si="12"/>
        <v>110.61</v>
      </c>
      <c r="Q101">
        <f t="shared" si="15"/>
        <v>117.47</v>
      </c>
    </row>
    <row r="102" spans="3:17" x14ac:dyDescent="0.25">
      <c r="C102" s="1">
        <v>42697</v>
      </c>
      <c r="D102">
        <v>111.51</v>
      </c>
      <c r="E102">
        <v>110.33</v>
      </c>
      <c r="F102">
        <v>111.23</v>
      </c>
      <c r="G102">
        <f t="shared" si="8"/>
        <v>112.42</v>
      </c>
      <c r="H102">
        <f t="shared" si="9"/>
        <v>104.08</v>
      </c>
      <c r="I102">
        <f t="shared" si="13"/>
        <v>118.36</v>
      </c>
      <c r="J102">
        <f t="shared" si="14"/>
        <v>104.08</v>
      </c>
      <c r="K102">
        <f t="shared" si="6"/>
        <v>118.69</v>
      </c>
      <c r="L102">
        <f t="shared" si="7"/>
        <v>104.08</v>
      </c>
      <c r="M102">
        <f t="shared" si="10"/>
        <v>108.25</v>
      </c>
      <c r="N102">
        <f t="shared" si="10"/>
        <v>108.25</v>
      </c>
      <c r="O102">
        <f t="shared" si="11"/>
        <v>115.91</v>
      </c>
      <c r="P102">
        <f t="shared" si="12"/>
        <v>110.61</v>
      </c>
      <c r="Q102">
        <f t="shared" si="15"/>
        <v>117.12</v>
      </c>
    </row>
    <row r="103" spans="3:17" x14ac:dyDescent="0.25">
      <c r="C103" s="1">
        <v>42699</v>
      </c>
      <c r="D103">
        <v>111.87</v>
      </c>
      <c r="E103">
        <v>110.95</v>
      </c>
      <c r="F103">
        <v>111.79</v>
      </c>
      <c r="G103">
        <f t="shared" si="8"/>
        <v>112.42</v>
      </c>
      <c r="H103">
        <f t="shared" si="9"/>
        <v>104.08</v>
      </c>
      <c r="I103">
        <f t="shared" si="13"/>
        <v>118.36</v>
      </c>
      <c r="J103">
        <f t="shared" si="14"/>
        <v>104.08</v>
      </c>
      <c r="K103">
        <f t="shared" si="6"/>
        <v>118.69</v>
      </c>
      <c r="L103">
        <f t="shared" si="7"/>
        <v>104.08</v>
      </c>
      <c r="M103">
        <f t="shared" si="10"/>
        <v>108.25</v>
      </c>
      <c r="N103">
        <f t="shared" si="10"/>
        <v>108.25</v>
      </c>
      <c r="O103">
        <f t="shared" si="11"/>
        <v>116.1</v>
      </c>
      <c r="P103">
        <f t="shared" si="12"/>
        <v>110.61</v>
      </c>
      <c r="Q103">
        <f t="shared" si="15"/>
        <v>117.06</v>
      </c>
    </row>
    <row r="104" spans="3:17" x14ac:dyDescent="0.25">
      <c r="C104" s="1">
        <v>42702</v>
      </c>
      <c r="D104">
        <v>112.465</v>
      </c>
      <c r="E104">
        <v>111.39</v>
      </c>
      <c r="F104">
        <v>111.57</v>
      </c>
      <c r="G104">
        <f t="shared" si="8"/>
        <v>112.465</v>
      </c>
      <c r="H104">
        <f t="shared" si="9"/>
        <v>106.1593</v>
      </c>
      <c r="I104">
        <f t="shared" si="13"/>
        <v>118.36</v>
      </c>
      <c r="J104">
        <f t="shared" si="14"/>
        <v>104.08</v>
      </c>
      <c r="K104">
        <f t="shared" si="6"/>
        <v>118.69</v>
      </c>
      <c r="L104">
        <f t="shared" si="7"/>
        <v>104.08</v>
      </c>
      <c r="M104">
        <f t="shared" si="10"/>
        <v>109.31215</v>
      </c>
      <c r="N104">
        <f t="shared" si="10"/>
        <v>109.31215</v>
      </c>
      <c r="O104">
        <f t="shared" si="11"/>
        <v>116.245</v>
      </c>
      <c r="P104">
        <f t="shared" si="12"/>
        <v>110.61</v>
      </c>
      <c r="Q104">
        <f t="shared" si="15"/>
        <v>116.6</v>
      </c>
    </row>
    <row r="105" spans="3:17" x14ac:dyDescent="0.25">
      <c r="C105" s="1">
        <v>42703</v>
      </c>
      <c r="D105">
        <v>112.03</v>
      </c>
      <c r="E105">
        <v>110.07</v>
      </c>
      <c r="F105">
        <v>111.46</v>
      </c>
      <c r="G105">
        <f t="shared" si="8"/>
        <v>112.465</v>
      </c>
      <c r="H105">
        <f t="shared" si="9"/>
        <v>106.6</v>
      </c>
      <c r="I105">
        <f t="shared" si="13"/>
        <v>118.36</v>
      </c>
      <c r="J105">
        <f t="shared" si="14"/>
        <v>104.08</v>
      </c>
      <c r="K105">
        <f t="shared" si="6"/>
        <v>118.69</v>
      </c>
      <c r="L105">
        <f t="shared" si="7"/>
        <v>104.08</v>
      </c>
      <c r="M105">
        <f t="shared" si="10"/>
        <v>109.5325</v>
      </c>
      <c r="N105">
        <f t="shared" si="10"/>
        <v>109.5325</v>
      </c>
      <c r="O105">
        <f t="shared" si="11"/>
        <v>116.245</v>
      </c>
      <c r="P105">
        <f t="shared" si="12"/>
        <v>110.61</v>
      </c>
      <c r="Q105">
        <f t="shared" si="15"/>
        <v>117.65</v>
      </c>
    </row>
    <row r="106" spans="3:17" x14ac:dyDescent="0.25">
      <c r="C106" s="1">
        <v>42704</v>
      </c>
      <c r="D106">
        <v>112.2</v>
      </c>
      <c r="E106">
        <v>110.27</v>
      </c>
      <c r="F106">
        <v>110.52</v>
      </c>
      <c r="G106">
        <f t="shared" si="8"/>
        <v>112.465</v>
      </c>
      <c r="H106">
        <f t="shared" si="9"/>
        <v>108.83</v>
      </c>
      <c r="I106">
        <f t="shared" si="13"/>
        <v>118.36</v>
      </c>
      <c r="J106">
        <f t="shared" si="14"/>
        <v>104.08</v>
      </c>
      <c r="K106">
        <f t="shared" si="6"/>
        <v>118.69</v>
      </c>
      <c r="L106">
        <f t="shared" si="7"/>
        <v>104.08</v>
      </c>
      <c r="M106">
        <f t="shared" si="10"/>
        <v>110.64750000000001</v>
      </c>
      <c r="N106">
        <f t="shared" si="10"/>
        <v>110.64750000000001</v>
      </c>
      <c r="O106">
        <f t="shared" si="11"/>
        <v>116.005</v>
      </c>
      <c r="P106">
        <f t="shared" si="12"/>
        <v>110.61</v>
      </c>
      <c r="Q106">
        <f t="shared" si="15"/>
        <v>118.25</v>
      </c>
    </row>
    <row r="107" spans="3:17" x14ac:dyDescent="0.25">
      <c r="C107" s="1">
        <v>42705</v>
      </c>
      <c r="D107">
        <v>110.94</v>
      </c>
      <c r="E107">
        <v>109.03</v>
      </c>
      <c r="F107">
        <v>109.49</v>
      </c>
      <c r="G107">
        <f t="shared" si="8"/>
        <v>112.465</v>
      </c>
      <c r="H107">
        <f t="shared" si="9"/>
        <v>109.03</v>
      </c>
      <c r="I107">
        <f t="shared" si="13"/>
        <v>115.86</v>
      </c>
      <c r="J107">
        <f t="shared" si="14"/>
        <v>104.08</v>
      </c>
      <c r="K107">
        <f t="shared" si="6"/>
        <v>118.69</v>
      </c>
      <c r="L107">
        <f t="shared" si="7"/>
        <v>104.08</v>
      </c>
      <c r="M107">
        <f t="shared" si="10"/>
        <v>110.7475</v>
      </c>
      <c r="N107">
        <f t="shared" si="10"/>
        <v>110.7475</v>
      </c>
      <c r="O107">
        <f t="shared" si="11"/>
        <v>116.08</v>
      </c>
      <c r="P107">
        <f t="shared" si="12"/>
        <v>110.61</v>
      </c>
      <c r="Q107">
        <f t="shared" si="15"/>
        <v>115.59</v>
      </c>
    </row>
    <row r="108" spans="3:17" x14ac:dyDescent="0.25">
      <c r="C108" s="1">
        <v>42706</v>
      </c>
      <c r="D108">
        <v>110.09</v>
      </c>
      <c r="E108">
        <v>108.85</v>
      </c>
      <c r="F108">
        <v>109.9</v>
      </c>
      <c r="G108">
        <f t="shared" si="8"/>
        <v>112.465</v>
      </c>
      <c r="H108">
        <f t="shared" si="9"/>
        <v>108.85</v>
      </c>
      <c r="I108">
        <f t="shared" si="13"/>
        <v>115.86</v>
      </c>
      <c r="J108">
        <f t="shared" si="14"/>
        <v>104.08</v>
      </c>
      <c r="K108">
        <f t="shared" si="6"/>
        <v>118.69</v>
      </c>
      <c r="L108">
        <f t="shared" si="7"/>
        <v>104.08</v>
      </c>
      <c r="M108">
        <f t="shared" si="10"/>
        <v>110.6575</v>
      </c>
      <c r="N108">
        <f t="shared" si="10"/>
        <v>110.6575</v>
      </c>
      <c r="O108">
        <f t="shared" si="11"/>
        <v>115.83500000000001</v>
      </c>
      <c r="P108">
        <f t="shared" si="12"/>
        <v>110.61</v>
      </c>
      <c r="Q108">
        <f t="shared" si="15"/>
        <v>114.48</v>
      </c>
    </row>
    <row r="109" spans="3:17" x14ac:dyDescent="0.25">
      <c r="C109" s="1">
        <v>42709</v>
      </c>
      <c r="D109">
        <v>110.03</v>
      </c>
      <c r="E109">
        <v>108.25</v>
      </c>
      <c r="F109">
        <v>109.11</v>
      </c>
      <c r="G109">
        <f t="shared" si="8"/>
        <v>112.465</v>
      </c>
      <c r="H109">
        <f t="shared" si="9"/>
        <v>108.25</v>
      </c>
      <c r="I109">
        <f t="shared" si="13"/>
        <v>115.21</v>
      </c>
      <c r="J109">
        <f t="shared" si="14"/>
        <v>104.08</v>
      </c>
      <c r="K109">
        <f t="shared" si="6"/>
        <v>118.69</v>
      </c>
      <c r="L109">
        <f t="shared" si="7"/>
        <v>104.08</v>
      </c>
      <c r="M109">
        <f t="shared" si="10"/>
        <v>110.3575</v>
      </c>
      <c r="N109">
        <f t="shared" si="10"/>
        <v>110.3575</v>
      </c>
      <c r="O109">
        <f t="shared" si="11"/>
        <v>115.83500000000001</v>
      </c>
      <c r="P109">
        <f t="shared" si="12"/>
        <v>110.61</v>
      </c>
      <c r="Q109">
        <f t="shared" si="15"/>
        <v>113.72</v>
      </c>
    </row>
    <row r="110" spans="3:17" x14ac:dyDescent="0.25">
      <c r="C110" s="1">
        <v>42710</v>
      </c>
      <c r="D110">
        <v>110.36</v>
      </c>
      <c r="E110">
        <v>109.19</v>
      </c>
      <c r="F110">
        <v>109.95</v>
      </c>
      <c r="G110">
        <f t="shared" si="8"/>
        <v>112.465</v>
      </c>
      <c r="H110">
        <f t="shared" si="9"/>
        <v>108.25</v>
      </c>
      <c r="I110">
        <f t="shared" si="13"/>
        <v>114.23</v>
      </c>
      <c r="J110">
        <f t="shared" si="14"/>
        <v>104.08</v>
      </c>
      <c r="K110">
        <f t="shared" si="6"/>
        <v>118.69</v>
      </c>
      <c r="L110">
        <f t="shared" si="7"/>
        <v>104.08</v>
      </c>
      <c r="M110">
        <f t="shared" si="10"/>
        <v>110.3575</v>
      </c>
      <c r="N110">
        <f t="shared" si="10"/>
        <v>110.3575</v>
      </c>
      <c r="O110">
        <f t="shared" si="11"/>
        <v>115.83500000000001</v>
      </c>
      <c r="P110">
        <f t="shared" si="12"/>
        <v>110.61</v>
      </c>
      <c r="Q110">
        <f t="shared" si="15"/>
        <v>113.54</v>
      </c>
    </row>
    <row r="111" spans="3:17" x14ac:dyDescent="0.25">
      <c r="C111" s="1">
        <v>42711</v>
      </c>
      <c r="D111">
        <v>111.19</v>
      </c>
      <c r="E111">
        <v>109.16</v>
      </c>
      <c r="F111">
        <v>111.03</v>
      </c>
      <c r="G111">
        <f t="shared" si="8"/>
        <v>112.465</v>
      </c>
      <c r="H111">
        <f t="shared" si="9"/>
        <v>108.25</v>
      </c>
      <c r="I111">
        <f t="shared" si="13"/>
        <v>113.77</v>
      </c>
      <c r="J111">
        <f t="shared" si="14"/>
        <v>104.08</v>
      </c>
      <c r="K111">
        <f t="shared" si="6"/>
        <v>118.69</v>
      </c>
      <c r="L111">
        <f t="shared" si="7"/>
        <v>104.08</v>
      </c>
      <c r="M111">
        <f t="shared" si="10"/>
        <v>110.3575</v>
      </c>
      <c r="N111">
        <f t="shared" si="10"/>
        <v>110.3575</v>
      </c>
      <c r="O111">
        <f t="shared" si="11"/>
        <v>115.78</v>
      </c>
      <c r="P111">
        <f t="shared" si="12"/>
        <v>110.61</v>
      </c>
      <c r="Q111">
        <f t="shared" si="15"/>
        <v>111.49</v>
      </c>
    </row>
    <row r="112" spans="3:17" x14ac:dyDescent="0.25">
      <c r="C112" s="1">
        <v>42712</v>
      </c>
      <c r="D112">
        <v>112.43</v>
      </c>
      <c r="E112">
        <v>110.6</v>
      </c>
      <c r="F112">
        <v>112.12</v>
      </c>
      <c r="G112">
        <f t="shared" si="8"/>
        <v>112.465</v>
      </c>
      <c r="H112">
        <f t="shared" si="9"/>
        <v>108.25</v>
      </c>
      <c r="I112">
        <f t="shared" si="13"/>
        <v>112.465</v>
      </c>
      <c r="J112">
        <f t="shared" si="14"/>
        <v>104.08</v>
      </c>
      <c r="K112">
        <f t="shared" si="6"/>
        <v>118.69</v>
      </c>
      <c r="L112">
        <f t="shared" si="7"/>
        <v>104.08</v>
      </c>
      <c r="M112">
        <f t="shared" si="10"/>
        <v>110.3575</v>
      </c>
      <c r="N112">
        <f t="shared" si="10"/>
        <v>110.3575</v>
      </c>
      <c r="O112">
        <f t="shared" si="11"/>
        <v>114.44499999999999</v>
      </c>
      <c r="P112">
        <f t="shared" si="12"/>
        <v>110.61</v>
      </c>
      <c r="Q112">
        <f t="shared" si="15"/>
        <v>111.59</v>
      </c>
    </row>
    <row r="113" spans="3:17" x14ac:dyDescent="0.25">
      <c r="C113" s="1">
        <v>42713</v>
      </c>
      <c r="D113">
        <v>114.7</v>
      </c>
      <c r="E113">
        <v>112.31</v>
      </c>
      <c r="F113">
        <v>113.95</v>
      </c>
      <c r="G113">
        <f t="shared" si="8"/>
        <v>114.7</v>
      </c>
      <c r="H113">
        <f t="shared" si="9"/>
        <v>108.25</v>
      </c>
      <c r="I113">
        <f t="shared" si="13"/>
        <v>114.7</v>
      </c>
      <c r="J113">
        <f t="shared" si="14"/>
        <v>104.08</v>
      </c>
      <c r="K113">
        <f t="shared" si="6"/>
        <v>118.69</v>
      </c>
      <c r="L113">
        <f t="shared" si="7"/>
        <v>104.08</v>
      </c>
      <c r="M113">
        <f t="shared" si="10"/>
        <v>111.47499999999999</v>
      </c>
      <c r="N113">
        <f t="shared" si="10"/>
        <v>111.47499999999999</v>
      </c>
      <c r="O113">
        <f t="shared" si="11"/>
        <v>114.44499999999999</v>
      </c>
      <c r="P113">
        <f t="shared" si="12"/>
        <v>110.61</v>
      </c>
      <c r="Q113">
        <f t="shared" si="15"/>
        <v>109.83</v>
      </c>
    </row>
    <row r="114" spans="3:17" x14ac:dyDescent="0.25">
      <c r="C114" s="1">
        <v>42716</v>
      </c>
      <c r="D114">
        <v>115</v>
      </c>
      <c r="E114">
        <v>112.49</v>
      </c>
      <c r="F114">
        <v>113.3</v>
      </c>
      <c r="G114">
        <f t="shared" si="8"/>
        <v>115</v>
      </c>
      <c r="H114">
        <f t="shared" si="9"/>
        <v>108.25</v>
      </c>
      <c r="I114">
        <f t="shared" si="13"/>
        <v>115</v>
      </c>
      <c r="J114">
        <f t="shared" si="14"/>
        <v>104.08</v>
      </c>
      <c r="K114">
        <f t="shared" si="6"/>
        <v>118.69</v>
      </c>
      <c r="L114">
        <f t="shared" si="7"/>
        <v>104.08</v>
      </c>
      <c r="M114">
        <f t="shared" si="10"/>
        <v>111.625</v>
      </c>
      <c r="N114">
        <f t="shared" si="10"/>
        <v>111.625</v>
      </c>
      <c r="O114">
        <f t="shared" si="11"/>
        <v>113.955</v>
      </c>
      <c r="P114">
        <f t="shared" si="12"/>
        <v>110.61</v>
      </c>
      <c r="Q114">
        <f t="shared" si="15"/>
        <v>108.84</v>
      </c>
    </row>
    <row r="115" spans="3:17" x14ac:dyDescent="0.25">
      <c r="C115" s="1">
        <v>42717</v>
      </c>
      <c r="D115">
        <v>115.92</v>
      </c>
      <c r="E115">
        <v>113.75</v>
      </c>
      <c r="F115">
        <v>115.19</v>
      </c>
      <c r="G115">
        <f t="shared" si="8"/>
        <v>115.92</v>
      </c>
      <c r="H115">
        <f t="shared" si="9"/>
        <v>108.25</v>
      </c>
      <c r="I115">
        <f t="shared" si="13"/>
        <v>115.92</v>
      </c>
      <c r="J115">
        <f t="shared" si="14"/>
        <v>104.08</v>
      </c>
      <c r="K115">
        <f t="shared" si="6"/>
        <v>118.69</v>
      </c>
      <c r="L115">
        <f t="shared" si="7"/>
        <v>104.08</v>
      </c>
      <c r="M115">
        <f t="shared" si="10"/>
        <v>112.08500000000001</v>
      </c>
      <c r="N115">
        <f t="shared" si="10"/>
        <v>112.08500000000001</v>
      </c>
      <c r="O115">
        <f t="shared" si="11"/>
        <v>113.235</v>
      </c>
      <c r="P115">
        <f t="shared" si="12"/>
        <v>110.61</v>
      </c>
      <c r="Q115">
        <f t="shared" si="15"/>
        <v>110.41</v>
      </c>
    </row>
    <row r="116" spans="3:17" x14ac:dyDescent="0.25">
      <c r="C116" s="1">
        <v>42718</v>
      </c>
      <c r="D116">
        <v>116.2</v>
      </c>
      <c r="E116">
        <v>114.98</v>
      </c>
      <c r="F116">
        <v>115.19</v>
      </c>
      <c r="G116">
        <f t="shared" si="8"/>
        <v>116.2</v>
      </c>
      <c r="H116">
        <f t="shared" si="9"/>
        <v>108.25</v>
      </c>
      <c r="I116">
        <f t="shared" si="13"/>
        <v>116.2</v>
      </c>
      <c r="J116">
        <f t="shared" si="14"/>
        <v>104.08</v>
      </c>
      <c r="K116">
        <f t="shared" si="6"/>
        <v>118.69</v>
      </c>
      <c r="L116">
        <f t="shared" si="7"/>
        <v>104.08</v>
      </c>
      <c r="M116">
        <f t="shared" si="10"/>
        <v>112.22499999999999</v>
      </c>
      <c r="N116">
        <f t="shared" si="10"/>
        <v>112.22499999999999</v>
      </c>
      <c r="O116">
        <f t="shared" si="11"/>
        <v>111.985</v>
      </c>
      <c r="P116">
        <f t="shared" si="12"/>
        <v>110.61</v>
      </c>
      <c r="Q116">
        <f t="shared" si="15"/>
        <v>111.06</v>
      </c>
    </row>
    <row r="117" spans="3:17" x14ac:dyDescent="0.25">
      <c r="C117" s="1">
        <v>42719</v>
      </c>
      <c r="D117">
        <v>116.73</v>
      </c>
      <c r="E117">
        <v>115.23</v>
      </c>
      <c r="F117">
        <v>115.82</v>
      </c>
      <c r="G117">
        <f t="shared" si="8"/>
        <v>116.73</v>
      </c>
      <c r="H117">
        <f t="shared" si="9"/>
        <v>108.25</v>
      </c>
      <c r="I117">
        <f t="shared" si="13"/>
        <v>116.73</v>
      </c>
      <c r="J117">
        <f t="shared" si="14"/>
        <v>104.08</v>
      </c>
      <c r="K117">
        <f t="shared" si="6"/>
        <v>118.69</v>
      </c>
      <c r="L117">
        <f t="shared" si="7"/>
        <v>104.08</v>
      </c>
      <c r="M117">
        <f t="shared" si="10"/>
        <v>112.49000000000001</v>
      </c>
      <c r="N117">
        <f t="shared" si="10"/>
        <v>112.49000000000001</v>
      </c>
      <c r="O117">
        <f t="shared" si="11"/>
        <v>111.985</v>
      </c>
      <c r="P117">
        <f t="shared" si="12"/>
        <v>110.61</v>
      </c>
      <c r="Q117">
        <f t="shared" si="15"/>
        <v>110.88</v>
      </c>
    </row>
    <row r="118" spans="3:17" x14ac:dyDescent="0.25">
      <c r="C118" s="1">
        <v>42720</v>
      </c>
      <c r="D118">
        <v>116.5</v>
      </c>
      <c r="E118">
        <v>115.645</v>
      </c>
      <c r="F118">
        <v>115.97</v>
      </c>
      <c r="G118">
        <f t="shared" si="8"/>
        <v>116.73</v>
      </c>
      <c r="H118">
        <f t="shared" si="9"/>
        <v>109.16</v>
      </c>
      <c r="I118">
        <f t="shared" si="13"/>
        <v>116.73</v>
      </c>
      <c r="J118">
        <f t="shared" si="14"/>
        <v>104.08</v>
      </c>
      <c r="K118">
        <f t="shared" ref="K118:K181" si="16">MAX($D67:$D118)</f>
        <v>118.69</v>
      </c>
      <c r="L118">
        <f t="shared" ref="L118:L181" si="17">MIN($E67:$E118)</f>
        <v>104.08</v>
      </c>
      <c r="M118">
        <f t="shared" si="10"/>
        <v>112.94499999999999</v>
      </c>
      <c r="N118">
        <f t="shared" si="10"/>
        <v>112.94499999999999</v>
      </c>
      <c r="O118">
        <f t="shared" si="11"/>
        <v>111.63</v>
      </c>
      <c r="P118">
        <f t="shared" si="12"/>
        <v>110.61</v>
      </c>
      <c r="Q118">
        <f t="shared" si="15"/>
        <v>107.79</v>
      </c>
    </row>
    <row r="119" spans="3:17" x14ac:dyDescent="0.25">
      <c r="C119" s="1">
        <v>42723</v>
      </c>
      <c r="D119">
        <v>117.38</v>
      </c>
      <c r="E119">
        <v>115.75</v>
      </c>
      <c r="F119">
        <v>116.64</v>
      </c>
      <c r="G119">
        <f t="shared" si="8"/>
        <v>117.38</v>
      </c>
      <c r="H119">
        <f t="shared" si="9"/>
        <v>109.16</v>
      </c>
      <c r="I119">
        <f t="shared" si="13"/>
        <v>117.38</v>
      </c>
      <c r="J119">
        <f t="shared" si="14"/>
        <v>104.08</v>
      </c>
      <c r="K119">
        <f t="shared" si="16"/>
        <v>118.69</v>
      </c>
      <c r="L119">
        <f t="shared" si="17"/>
        <v>104.08</v>
      </c>
      <c r="M119">
        <f t="shared" si="10"/>
        <v>113.27</v>
      </c>
      <c r="N119">
        <f t="shared" si="10"/>
        <v>113.27</v>
      </c>
      <c r="O119">
        <f t="shared" si="11"/>
        <v>110.03</v>
      </c>
      <c r="P119">
        <f t="shared" si="12"/>
        <v>110.61</v>
      </c>
      <c r="Q119">
        <f t="shared" si="15"/>
        <v>108.43</v>
      </c>
    </row>
    <row r="120" spans="3:17" x14ac:dyDescent="0.25">
      <c r="C120" s="1">
        <v>42724</v>
      </c>
      <c r="D120">
        <v>117.5</v>
      </c>
      <c r="E120">
        <v>116.68</v>
      </c>
      <c r="F120">
        <v>116.95</v>
      </c>
      <c r="G120">
        <f t="shared" si="8"/>
        <v>117.5</v>
      </c>
      <c r="H120">
        <f t="shared" si="9"/>
        <v>110.6</v>
      </c>
      <c r="I120">
        <f t="shared" si="13"/>
        <v>117.5</v>
      </c>
      <c r="J120">
        <f t="shared" si="14"/>
        <v>104.08</v>
      </c>
      <c r="K120">
        <f t="shared" si="16"/>
        <v>118.69</v>
      </c>
      <c r="L120">
        <f t="shared" si="17"/>
        <v>104.08</v>
      </c>
      <c r="M120">
        <f t="shared" si="10"/>
        <v>114.05</v>
      </c>
      <c r="N120">
        <f t="shared" si="10"/>
        <v>114.05</v>
      </c>
      <c r="O120">
        <f t="shared" si="11"/>
        <v>109.8</v>
      </c>
      <c r="P120">
        <f t="shared" si="12"/>
        <v>110.61</v>
      </c>
      <c r="Q120">
        <f t="shared" si="15"/>
        <v>105.71</v>
      </c>
    </row>
    <row r="121" spans="3:17" x14ac:dyDescent="0.25">
      <c r="C121" s="1">
        <v>42725</v>
      </c>
      <c r="D121">
        <v>117.4</v>
      </c>
      <c r="E121">
        <v>116.78</v>
      </c>
      <c r="F121">
        <v>117.06</v>
      </c>
      <c r="G121">
        <f t="shared" si="8"/>
        <v>117.5</v>
      </c>
      <c r="H121">
        <f t="shared" si="9"/>
        <v>112.31</v>
      </c>
      <c r="I121">
        <f t="shared" si="13"/>
        <v>117.5</v>
      </c>
      <c r="J121">
        <f t="shared" si="14"/>
        <v>106.1593</v>
      </c>
      <c r="K121">
        <f t="shared" si="16"/>
        <v>118.69</v>
      </c>
      <c r="L121">
        <f t="shared" si="17"/>
        <v>104.08</v>
      </c>
      <c r="M121">
        <f t="shared" si="10"/>
        <v>114.905</v>
      </c>
      <c r="N121">
        <f t="shared" si="10"/>
        <v>114.905</v>
      </c>
      <c r="O121">
        <f t="shared" si="11"/>
        <v>108.215</v>
      </c>
      <c r="P121">
        <f t="shared" si="12"/>
        <v>110.61</v>
      </c>
      <c r="Q121">
        <f t="shared" si="15"/>
        <v>107.11</v>
      </c>
    </row>
    <row r="122" spans="3:17" x14ac:dyDescent="0.25">
      <c r="C122" s="1">
        <v>42726</v>
      </c>
      <c r="D122">
        <v>116.51</v>
      </c>
      <c r="E122">
        <v>115.64</v>
      </c>
      <c r="F122">
        <v>116.29</v>
      </c>
      <c r="G122">
        <f t="shared" si="8"/>
        <v>117.5</v>
      </c>
      <c r="H122">
        <f t="shared" si="9"/>
        <v>112.49</v>
      </c>
      <c r="I122">
        <f t="shared" si="13"/>
        <v>117.5</v>
      </c>
      <c r="J122">
        <f t="shared" si="14"/>
        <v>106.6</v>
      </c>
      <c r="K122">
        <f t="shared" si="16"/>
        <v>118.69</v>
      </c>
      <c r="L122">
        <f t="shared" si="17"/>
        <v>104.08</v>
      </c>
      <c r="M122">
        <f t="shared" si="10"/>
        <v>114.995</v>
      </c>
      <c r="N122">
        <f t="shared" si="10"/>
        <v>114.995</v>
      </c>
      <c r="O122">
        <f t="shared" si="11"/>
        <v>107.9</v>
      </c>
      <c r="P122">
        <f t="shared" si="12"/>
        <v>110.61</v>
      </c>
      <c r="Q122">
        <f t="shared" si="15"/>
        <v>109.99</v>
      </c>
    </row>
    <row r="123" spans="3:17" x14ac:dyDescent="0.25">
      <c r="C123" s="1">
        <v>42727</v>
      </c>
      <c r="D123">
        <v>116.52</v>
      </c>
      <c r="E123">
        <v>115.59</v>
      </c>
      <c r="F123">
        <v>116.52</v>
      </c>
      <c r="G123">
        <f t="shared" si="8"/>
        <v>117.5</v>
      </c>
      <c r="H123">
        <f t="shared" si="9"/>
        <v>113.75</v>
      </c>
      <c r="I123">
        <f t="shared" si="13"/>
        <v>117.5</v>
      </c>
      <c r="J123">
        <f t="shared" si="14"/>
        <v>108.25</v>
      </c>
      <c r="K123">
        <f t="shared" si="16"/>
        <v>118.36</v>
      </c>
      <c r="L123">
        <f t="shared" si="17"/>
        <v>104.08</v>
      </c>
      <c r="M123">
        <f t="shared" si="10"/>
        <v>115.625</v>
      </c>
      <c r="N123">
        <f t="shared" si="10"/>
        <v>115.625</v>
      </c>
      <c r="O123">
        <f t="shared" si="11"/>
        <v>107.9</v>
      </c>
      <c r="P123">
        <f t="shared" si="12"/>
        <v>110.61</v>
      </c>
      <c r="Q123">
        <f t="shared" si="15"/>
        <v>109.95</v>
      </c>
    </row>
    <row r="124" spans="3:17" x14ac:dyDescent="0.25">
      <c r="C124" s="1">
        <v>42731</v>
      </c>
      <c r="D124">
        <v>117.8</v>
      </c>
      <c r="E124">
        <v>116.49</v>
      </c>
      <c r="F124">
        <v>117.26</v>
      </c>
      <c r="G124">
        <f t="shared" si="8"/>
        <v>117.8</v>
      </c>
      <c r="H124">
        <f t="shared" si="9"/>
        <v>114.98</v>
      </c>
      <c r="I124">
        <f t="shared" si="13"/>
        <v>117.8</v>
      </c>
      <c r="J124">
        <f t="shared" si="14"/>
        <v>108.25</v>
      </c>
      <c r="K124">
        <f t="shared" si="16"/>
        <v>118.36</v>
      </c>
      <c r="L124">
        <f t="shared" si="17"/>
        <v>104.08</v>
      </c>
      <c r="M124">
        <f t="shared" si="10"/>
        <v>116.39</v>
      </c>
      <c r="N124">
        <f t="shared" si="10"/>
        <v>116.39</v>
      </c>
      <c r="O124">
        <f t="shared" si="11"/>
        <v>107.9</v>
      </c>
      <c r="P124">
        <f t="shared" si="12"/>
        <v>110.61</v>
      </c>
      <c r="Q124">
        <f t="shared" si="15"/>
        <v>110.06</v>
      </c>
    </row>
    <row r="125" spans="3:17" x14ac:dyDescent="0.25">
      <c r="C125" s="1">
        <v>42732</v>
      </c>
      <c r="D125">
        <v>118.0166</v>
      </c>
      <c r="E125">
        <v>116.2</v>
      </c>
      <c r="F125">
        <v>116.76</v>
      </c>
      <c r="G125">
        <f t="shared" si="8"/>
        <v>118.0166</v>
      </c>
      <c r="H125">
        <f t="shared" si="9"/>
        <v>115.23</v>
      </c>
      <c r="I125">
        <f t="shared" si="13"/>
        <v>118.0166</v>
      </c>
      <c r="J125">
        <f t="shared" si="14"/>
        <v>108.25</v>
      </c>
      <c r="K125">
        <f t="shared" si="16"/>
        <v>118.36</v>
      </c>
      <c r="L125">
        <f t="shared" si="17"/>
        <v>104.08</v>
      </c>
      <c r="M125">
        <f t="shared" si="10"/>
        <v>116.6233</v>
      </c>
      <c r="N125">
        <f t="shared" si="10"/>
        <v>116.6233</v>
      </c>
      <c r="O125">
        <f t="shared" si="11"/>
        <v>107.9</v>
      </c>
      <c r="P125">
        <f t="shared" si="12"/>
        <v>110.61</v>
      </c>
      <c r="Q125">
        <f t="shared" si="15"/>
        <v>111.73</v>
      </c>
    </row>
    <row r="126" spans="3:17" x14ac:dyDescent="0.25">
      <c r="C126" s="1">
        <v>42733</v>
      </c>
      <c r="D126">
        <v>117.1095</v>
      </c>
      <c r="E126">
        <v>116.4</v>
      </c>
      <c r="F126">
        <v>116.73</v>
      </c>
      <c r="G126">
        <f t="shared" si="8"/>
        <v>118.0166</v>
      </c>
      <c r="H126">
        <f t="shared" si="9"/>
        <v>115.59</v>
      </c>
      <c r="I126">
        <f t="shared" si="13"/>
        <v>118.0166</v>
      </c>
      <c r="J126">
        <f t="shared" si="14"/>
        <v>108.25</v>
      </c>
      <c r="K126">
        <f t="shared" si="16"/>
        <v>118.36</v>
      </c>
      <c r="L126">
        <f t="shared" si="17"/>
        <v>104.08</v>
      </c>
      <c r="M126">
        <f t="shared" si="10"/>
        <v>116.80330000000001</v>
      </c>
      <c r="N126">
        <f t="shared" si="10"/>
        <v>116.80330000000001</v>
      </c>
      <c r="O126">
        <f t="shared" si="11"/>
        <v>108.035</v>
      </c>
      <c r="P126">
        <f t="shared" si="12"/>
        <v>110.61</v>
      </c>
      <c r="Q126">
        <f t="shared" si="15"/>
        <v>111.8</v>
      </c>
    </row>
    <row r="127" spans="3:17" x14ac:dyDescent="0.25">
      <c r="C127" s="1">
        <v>42734</v>
      </c>
      <c r="D127">
        <v>117.2</v>
      </c>
      <c r="E127">
        <v>115.43</v>
      </c>
      <c r="F127">
        <v>115.82</v>
      </c>
      <c r="G127">
        <f t="shared" si="8"/>
        <v>118.0166</v>
      </c>
      <c r="H127">
        <f t="shared" si="9"/>
        <v>115.43</v>
      </c>
      <c r="I127">
        <f t="shared" si="13"/>
        <v>118.0166</v>
      </c>
      <c r="J127">
        <f t="shared" si="14"/>
        <v>108.25</v>
      </c>
      <c r="K127">
        <f t="shared" si="16"/>
        <v>118.36</v>
      </c>
      <c r="L127">
        <f t="shared" si="17"/>
        <v>104.08</v>
      </c>
      <c r="M127">
        <f t="shared" si="10"/>
        <v>116.72329999999999</v>
      </c>
      <c r="N127">
        <f t="shared" si="10"/>
        <v>116.72329999999999</v>
      </c>
      <c r="O127">
        <f t="shared" si="11"/>
        <v>108.25</v>
      </c>
      <c r="P127">
        <f t="shared" si="12"/>
        <v>110.61</v>
      </c>
      <c r="Q127">
        <f t="shared" si="15"/>
        <v>111.23</v>
      </c>
    </row>
    <row r="128" spans="3:17" x14ac:dyDescent="0.25">
      <c r="C128" s="1">
        <v>42738</v>
      </c>
      <c r="D128">
        <v>116.33</v>
      </c>
      <c r="E128">
        <v>114.76</v>
      </c>
      <c r="F128">
        <v>116.15</v>
      </c>
      <c r="G128">
        <f t="shared" si="8"/>
        <v>118.0166</v>
      </c>
      <c r="H128">
        <f t="shared" si="9"/>
        <v>114.76</v>
      </c>
      <c r="I128">
        <f t="shared" si="13"/>
        <v>118.0166</v>
      </c>
      <c r="J128">
        <f t="shared" si="14"/>
        <v>108.25</v>
      </c>
      <c r="K128">
        <f t="shared" si="16"/>
        <v>118.36</v>
      </c>
      <c r="L128">
        <f t="shared" si="17"/>
        <v>104.08</v>
      </c>
      <c r="M128">
        <f t="shared" si="10"/>
        <v>116.3883</v>
      </c>
      <c r="N128">
        <f t="shared" si="10"/>
        <v>116.3883</v>
      </c>
      <c r="O128">
        <f t="shared" si="11"/>
        <v>108.25</v>
      </c>
      <c r="P128">
        <f t="shared" si="12"/>
        <v>111.38499999999999</v>
      </c>
      <c r="Q128">
        <f t="shared" si="15"/>
        <v>111.79</v>
      </c>
    </row>
    <row r="129" spans="3:17" x14ac:dyDescent="0.25">
      <c r="C129" s="1">
        <v>42739</v>
      </c>
      <c r="D129">
        <v>116.51</v>
      </c>
      <c r="E129">
        <v>115.75</v>
      </c>
      <c r="F129">
        <v>116.02</v>
      </c>
      <c r="G129">
        <f t="shared" si="8"/>
        <v>118.0166</v>
      </c>
      <c r="H129">
        <f t="shared" si="9"/>
        <v>114.76</v>
      </c>
      <c r="I129">
        <f t="shared" si="13"/>
        <v>118.0166</v>
      </c>
      <c r="J129">
        <f t="shared" si="14"/>
        <v>108.25</v>
      </c>
      <c r="K129">
        <f t="shared" si="16"/>
        <v>118.36</v>
      </c>
      <c r="L129">
        <f t="shared" si="17"/>
        <v>104.08</v>
      </c>
      <c r="M129">
        <f t="shared" si="10"/>
        <v>116.3883</v>
      </c>
      <c r="N129">
        <f t="shared" si="10"/>
        <v>116.3883</v>
      </c>
      <c r="O129">
        <f t="shared" si="11"/>
        <v>108.25</v>
      </c>
      <c r="P129">
        <f t="shared" si="12"/>
        <v>111.38499999999999</v>
      </c>
      <c r="Q129">
        <f t="shared" si="15"/>
        <v>111.57</v>
      </c>
    </row>
    <row r="130" spans="3:17" x14ac:dyDescent="0.25">
      <c r="C130" s="1">
        <v>42740</v>
      </c>
      <c r="D130">
        <v>116.8642</v>
      </c>
      <c r="E130">
        <v>115.81</v>
      </c>
      <c r="F130">
        <v>116.61</v>
      </c>
      <c r="G130">
        <f t="shared" si="8"/>
        <v>118.0166</v>
      </c>
      <c r="H130">
        <f t="shared" si="9"/>
        <v>114.76</v>
      </c>
      <c r="I130">
        <f t="shared" si="13"/>
        <v>118.0166</v>
      </c>
      <c r="J130">
        <f t="shared" si="14"/>
        <v>108.25</v>
      </c>
      <c r="K130">
        <f t="shared" si="16"/>
        <v>118.36</v>
      </c>
      <c r="L130">
        <f t="shared" si="17"/>
        <v>104.08</v>
      </c>
      <c r="M130">
        <f t="shared" si="10"/>
        <v>116.3883</v>
      </c>
      <c r="N130">
        <f t="shared" si="10"/>
        <v>116.3883</v>
      </c>
      <c r="O130">
        <f t="shared" si="11"/>
        <v>109.31215</v>
      </c>
      <c r="P130">
        <f t="shared" si="12"/>
        <v>111.38499999999999</v>
      </c>
      <c r="Q130">
        <f t="shared" si="15"/>
        <v>111.46</v>
      </c>
    </row>
    <row r="131" spans="3:17" x14ac:dyDescent="0.25">
      <c r="C131" s="1">
        <v>42741</v>
      </c>
      <c r="D131">
        <v>118.16</v>
      </c>
      <c r="E131">
        <v>116.47</v>
      </c>
      <c r="F131">
        <v>117.91</v>
      </c>
      <c r="G131">
        <f t="shared" si="8"/>
        <v>118.16</v>
      </c>
      <c r="H131">
        <f t="shared" si="9"/>
        <v>114.76</v>
      </c>
      <c r="I131">
        <f t="shared" si="13"/>
        <v>118.16</v>
      </c>
      <c r="J131">
        <f t="shared" si="14"/>
        <v>108.25</v>
      </c>
      <c r="K131">
        <f t="shared" si="16"/>
        <v>118.36</v>
      </c>
      <c r="L131">
        <f t="shared" si="17"/>
        <v>104.08</v>
      </c>
      <c r="M131">
        <f t="shared" si="10"/>
        <v>116.46000000000001</v>
      </c>
      <c r="N131">
        <f t="shared" si="10"/>
        <v>116.46000000000001</v>
      </c>
      <c r="O131">
        <f t="shared" si="11"/>
        <v>109.5325</v>
      </c>
      <c r="P131">
        <f t="shared" si="12"/>
        <v>111.38499999999999</v>
      </c>
      <c r="Q131">
        <f t="shared" si="15"/>
        <v>110.52</v>
      </c>
    </row>
    <row r="132" spans="3:17" x14ac:dyDescent="0.25">
      <c r="C132" s="1">
        <v>42744</v>
      </c>
      <c r="D132">
        <v>119.43</v>
      </c>
      <c r="E132">
        <v>117.94</v>
      </c>
      <c r="F132">
        <v>118.99</v>
      </c>
      <c r="G132">
        <f t="shared" si="8"/>
        <v>119.43</v>
      </c>
      <c r="H132">
        <f t="shared" si="9"/>
        <v>114.76</v>
      </c>
      <c r="I132">
        <f t="shared" si="13"/>
        <v>119.43</v>
      </c>
      <c r="J132">
        <f t="shared" si="14"/>
        <v>108.25</v>
      </c>
      <c r="K132">
        <f t="shared" si="16"/>
        <v>119.43</v>
      </c>
      <c r="L132">
        <f t="shared" si="17"/>
        <v>104.08</v>
      </c>
      <c r="M132">
        <f t="shared" si="10"/>
        <v>117.095</v>
      </c>
      <c r="N132">
        <f t="shared" si="10"/>
        <v>117.095</v>
      </c>
      <c r="O132">
        <f t="shared" si="11"/>
        <v>110.64750000000001</v>
      </c>
      <c r="P132">
        <f t="shared" si="12"/>
        <v>111.38499999999999</v>
      </c>
      <c r="Q132">
        <f t="shared" si="15"/>
        <v>109.49</v>
      </c>
    </row>
    <row r="133" spans="3:17" x14ac:dyDescent="0.25">
      <c r="C133" s="1">
        <v>42745</v>
      </c>
      <c r="D133">
        <v>119.38</v>
      </c>
      <c r="E133">
        <v>118.3</v>
      </c>
      <c r="F133">
        <v>119.11</v>
      </c>
      <c r="G133">
        <f t="shared" si="8"/>
        <v>119.43</v>
      </c>
      <c r="H133">
        <f t="shared" si="9"/>
        <v>114.76</v>
      </c>
      <c r="I133">
        <f t="shared" si="13"/>
        <v>119.43</v>
      </c>
      <c r="J133">
        <f t="shared" si="14"/>
        <v>108.25</v>
      </c>
      <c r="K133">
        <f t="shared" si="16"/>
        <v>119.43</v>
      </c>
      <c r="L133">
        <f t="shared" si="17"/>
        <v>104.08</v>
      </c>
      <c r="M133">
        <f t="shared" si="10"/>
        <v>117.095</v>
      </c>
      <c r="N133">
        <f t="shared" si="10"/>
        <v>117.095</v>
      </c>
      <c r="O133">
        <f t="shared" si="11"/>
        <v>110.7475</v>
      </c>
      <c r="P133">
        <f t="shared" si="12"/>
        <v>111.38499999999999</v>
      </c>
      <c r="Q133">
        <f t="shared" si="15"/>
        <v>109.9</v>
      </c>
    </row>
    <row r="134" spans="3:17" x14ac:dyDescent="0.25">
      <c r="C134" s="1">
        <v>42746</v>
      </c>
      <c r="D134">
        <v>119.93</v>
      </c>
      <c r="E134">
        <v>118.6</v>
      </c>
      <c r="F134">
        <v>119.75</v>
      </c>
      <c r="G134">
        <f t="shared" si="8"/>
        <v>119.93</v>
      </c>
      <c r="H134">
        <f t="shared" si="9"/>
        <v>114.76</v>
      </c>
      <c r="I134">
        <f t="shared" si="13"/>
        <v>119.93</v>
      </c>
      <c r="J134">
        <f t="shared" si="14"/>
        <v>108.25</v>
      </c>
      <c r="K134">
        <f t="shared" si="16"/>
        <v>119.93</v>
      </c>
      <c r="L134">
        <f t="shared" si="17"/>
        <v>104.08</v>
      </c>
      <c r="M134">
        <f t="shared" si="10"/>
        <v>117.345</v>
      </c>
      <c r="N134">
        <f t="shared" si="10"/>
        <v>117.345</v>
      </c>
      <c r="O134">
        <f t="shared" si="11"/>
        <v>110.6575</v>
      </c>
      <c r="P134">
        <f t="shared" si="12"/>
        <v>111.38499999999999</v>
      </c>
      <c r="Q134">
        <f t="shared" si="15"/>
        <v>109.11</v>
      </c>
    </row>
    <row r="135" spans="3:17" x14ac:dyDescent="0.25">
      <c r="C135" s="1">
        <v>42747</v>
      </c>
      <c r="D135">
        <v>119.3</v>
      </c>
      <c r="E135">
        <v>118.21</v>
      </c>
      <c r="F135">
        <v>119.25</v>
      </c>
      <c r="G135">
        <f t="shared" si="8"/>
        <v>119.93</v>
      </c>
      <c r="H135">
        <f t="shared" si="9"/>
        <v>114.76</v>
      </c>
      <c r="I135">
        <f t="shared" si="13"/>
        <v>119.93</v>
      </c>
      <c r="J135">
        <f t="shared" si="14"/>
        <v>109.16</v>
      </c>
      <c r="K135">
        <f t="shared" si="16"/>
        <v>119.93</v>
      </c>
      <c r="L135">
        <f t="shared" si="17"/>
        <v>104.08</v>
      </c>
      <c r="M135">
        <f t="shared" si="10"/>
        <v>117.345</v>
      </c>
      <c r="N135">
        <f t="shared" si="10"/>
        <v>117.345</v>
      </c>
      <c r="O135">
        <f t="shared" si="11"/>
        <v>110.3575</v>
      </c>
      <c r="P135">
        <f t="shared" si="12"/>
        <v>111.38499999999999</v>
      </c>
      <c r="Q135">
        <f t="shared" si="15"/>
        <v>109.95</v>
      </c>
    </row>
    <row r="136" spans="3:17" x14ac:dyDescent="0.25">
      <c r="C136" s="1">
        <v>42748</v>
      </c>
      <c r="D136">
        <v>119.62</v>
      </c>
      <c r="E136">
        <v>118.81</v>
      </c>
      <c r="F136">
        <v>119.04</v>
      </c>
      <c r="G136">
        <f t="shared" si="8"/>
        <v>119.93</v>
      </c>
      <c r="H136">
        <f t="shared" si="9"/>
        <v>114.76</v>
      </c>
      <c r="I136">
        <f t="shared" si="13"/>
        <v>119.93</v>
      </c>
      <c r="J136">
        <f t="shared" si="14"/>
        <v>109.16</v>
      </c>
      <c r="K136">
        <f t="shared" si="16"/>
        <v>119.93</v>
      </c>
      <c r="L136">
        <f t="shared" si="17"/>
        <v>104.08</v>
      </c>
      <c r="M136">
        <f t="shared" si="10"/>
        <v>117.345</v>
      </c>
      <c r="N136">
        <f t="shared" si="10"/>
        <v>117.345</v>
      </c>
      <c r="O136">
        <f t="shared" si="11"/>
        <v>110.3575</v>
      </c>
      <c r="P136">
        <f t="shared" si="12"/>
        <v>111.38499999999999</v>
      </c>
      <c r="Q136">
        <f t="shared" si="15"/>
        <v>111.03</v>
      </c>
    </row>
    <row r="137" spans="3:17" x14ac:dyDescent="0.25">
      <c r="C137" s="1">
        <v>42752</v>
      </c>
      <c r="D137">
        <v>120.24</v>
      </c>
      <c r="E137">
        <v>118.22</v>
      </c>
      <c r="F137">
        <v>120</v>
      </c>
      <c r="G137">
        <f t="shared" si="8"/>
        <v>120.24</v>
      </c>
      <c r="H137">
        <f t="shared" si="9"/>
        <v>115.75</v>
      </c>
      <c r="I137">
        <f t="shared" si="13"/>
        <v>120.24</v>
      </c>
      <c r="J137">
        <f t="shared" si="14"/>
        <v>110.6</v>
      </c>
      <c r="K137">
        <f t="shared" si="16"/>
        <v>120.24</v>
      </c>
      <c r="L137">
        <f t="shared" si="17"/>
        <v>104.08</v>
      </c>
      <c r="M137">
        <f t="shared" si="10"/>
        <v>117.995</v>
      </c>
      <c r="N137">
        <f t="shared" si="10"/>
        <v>117.995</v>
      </c>
      <c r="O137">
        <f t="shared" si="11"/>
        <v>110.3575</v>
      </c>
      <c r="P137">
        <f t="shared" si="12"/>
        <v>111.38499999999999</v>
      </c>
      <c r="Q137">
        <f t="shared" si="15"/>
        <v>112.12</v>
      </c>
    </row>
    <row r="138" spans="3:17" x14ac:dyDescent="0.25">
      <c r="C138" s="1">
        <v>42753</v>
      </c>
      <c r="D138">
        <v>120.5</v>
      </c>
      <c r="E138">
        <v>119.71</v>
      </c>
      <c r="F138">
        <v>119.99</v>
      </c>
      <c r="G138">
        <f t="shared" si="8"/>
        <v>120.5</v>
      </c>
      <c r="H138">
        <f t="shared" si="9"/>
        <v>115.81</v>
      </c>
      <c r="I138">
        <f t="shared" si="13"/>
        <v>120.5</v>
      </c>
      <c r="J138">
        <f t="shared" si="14"/>
        <v>112.31</v>
      </c>
      <c r="K138">
        <f t="shared" si="16"/>
        <v>120.5</v>
      </c>
      <c r="L138">
        <f t="shared" si="17"/>
        <v>104.08</v>
      </c>
      <c r="M138">
        <f t="shared" si="10"/>
        <v>118.155</v>
      </c>
      <c r="N138">
        <f t="shared" si="10"/>
        <v>118.155</v>
      </c>
      <c r="O138">
        <f t="shared" si="11"/>
        <v>110.3575</v>
      </c>
      <c r="P138">
        <f t="shared" si="12"/>
        <v>111.38499999999999</v>
      </c>
      <c r="Q138">
        <f t="shared" si="15"/>
        <v>113.95</v>
      </c>
    </row>
    <row r="139" spans="3:17" x14ac:dyDescent="0.25">
      <c r="C139" s="1">
        <v>42754</v>
      </c>
      <c r="D139">
        <v>120.09</v>
      </c>
      <c r="E139">
        <v>119.37</v>
      </c>
      <c r="F139">
        <v>119.78</v>
      </c>
      <c r="G139">
        <f t="shared" ref="G139:G202" si="18">MAX($D131:$D139)</f>
        <v>120.5</v>
      </c>
      <c r="H139">
        <f t="shared" ref="H139:H202" si="19">MIN($E131:$E139)</f>
        <v>116.47</v>
      </c>
      <c r="I139">
        <f t="shared" si="13"/>
        <v>120.5</v>
      </c>
      <c r="J139">
        <f t="shared" si="14"/>
        <v>112.49</v>
      </c>
      <c r="K139">
        <f t="shared" si="16"/>
        <v>120.5</v>
      </c>
      <c r="L139">
        <f t="shared" si="17"/>
        <v>104.08</v>
      </c>
      <c r="M139">
        <f t="shared" ref="M139:N202" si="20">($G139 + $H139) / 2</f>
        <v>118.485</v>
      </c>
      <c r="N139">
        <f t="shared" si="20"/>
        <v>118.485</v>
      </c>
      <c r="O139">
        <f t="shared" si="11"/>
        <v>111.47499999999999</v>
      </c>
      <c r="P139">
        <f t="shared" si="12"/>
        <v>111.38499999999999</v>
      </c>
      <c r="Q139">
        <f t="shared" si="15"/>
        <v>113.3</v>
      </c>
    </row>
    <row r="140" spans="3:17" x14ac:dyDescent="0.25">
      <c r="C140" s="1">
        <v>42755</v>
      </c>
      <c r="D140">
        <v>120.45</v>
      </c>
      <c r="E140">
        <v>119.7346</v>
      </c>
      <c r="F140">
        <v>120</v>
      </c>
      <c r="G140">
        <f t="shared" si="18"/>
        <v>120.5</v>
      </c>
      <c r="H140">
        <f t="shared" si="19"/>
        <v>117.94</v>
      </c>
      <c r="I140">
        <f t="shared" si="13"/>
        <v>120.5</v>
      </c>
      <c r="J140">
        <f t="shared" si="14"/>
        <v>113.75</v>
      </c>
      <c r="K140">
        <f t="shared" si="16"/>
        <v>120.5</v>
      </c>
      <c r="L140">
        <f t="shared" si="17"/>
        <v>104.08</v>
      </c>
      <c r="M140">
        <f t="shared" si="20"/>
        <v>119.22</v>
      </c>
      <c r="N140">
        <f t="shared" si="20"/>
        <v>119.22</v>
      </c>
      <c r="O140">
        <f t="shared" si="11"/>
        <v>111.625</v>
      </c>
      <c r="P140">
        <f t="shared" si="12"/>
        <v>111.38499999999999</v>
      </c>
      <c r="Q140">
        <f t="shared" si="15"/>
        <v>115.19</v>
      </c>
    </row>
    <row r="141" spans="3:17" x14ac:dyDescent="0.25">
      <c r="C141" s="1">
        <v>42758</v>
      </c>
      <c r="D141">
        <v>120.81</v>
      </c>
      <c r="E141">
        <v>119.77</v>
      </c>
      <c r="F141">
        <v>120.08</v>
      </c>
      <c r="G141">
        <f t="shared" si="18"/>
        <v>120.81</v>
      </c>
      <c r="H141">
        <f t="shared" si="19"/>
        <v>118.21</v>
      </c>
      <c r="I141">
        <f t="shared" si="13"/>
        <v>120.81</v>
      </c>
      <c r="J141">
        <f t="shared" si="14"/>
        <v>114.76</v>
      </c>
      <c r="K141">
        <f t="shared" si="16"/>
        <v>120.81</v>
      </c>
      <c r="L141">
        <f t="shared" si="17"/>
        <v>104.08</v>
      </c>
      <c r="M141">
        <f t="shared" si="20"/>
        <v>119.50999999999999</v>
      </c>
      <c r="N141">
        <f t="shared" si="20"/>
        <v>119.50999999999999</v>
      </c>
      <c r="O141">
        <f t="shared" si="11"/>
        <v>112.08500000000001</v>
      </c>
      <c r="P141">
        <f t="shared" si="12"/>
        <v>111.38499999999999</v>
      </c>
      <c r="Q141">
        <f t="shared" si="15"/>
        <v>115.19</v>
      </c>
    </row>
    <row r="142" spans="3:17" x14ac:dyDescent="0.25">
      <c r="C142" s="1">
        <v>42759</v>
      </c>
      <c r="D142">
        <v>120.1</v>
      </c>
      <c r="E142">
        <v>119.5</v>
      </c>
      <c r="F142">
        <v>119.97</v>
      </c>
      <c r="G142">
        <f t="shared" si="18"/>
        <v>120.81</v>
      </c>
      <c r="H142">
        <f t="shared" si="19"/>
        <v>118.21</v>
      </c>
      <c r="I142">
        <f t="shared" si="13"/>
        <v>120.81</v>
      </c>
      <c r="J142">
        <f t="shared" si="14"/>
        <v>114.76</v>
      </c>
      <c r="K142">
        <f t="shared" si="16"/>
        <v>120.81</v>
      </c>
      <c r="L142">
        <f t="shared" si="17"/>
        <v>104.08</v>
      </c>
      <c r="M142">
        <f t="shared" si="20"/>
        <v>119.50999999999999</v>
      </c>
      <c r="N142">
        <f t="shared" si="20"/>
        <v>119.50999999999999</v>
      </c>
      <c r="O142">
        <f t="shared" si="11"/>
        <v>112.22499999999999</v>
      </c>
      <c r="P142">
        <f t="shared" si="12"/>
        <v>111.38499999999999</v>
      </c>
      <c r="Q142">
        <f t="shared" si="15"/>
        <v>115.82</v>
      </c>
    </row>
    <row r="143" spans="3:17" x14ac:dyDescent="0.25">
      <c r="C143" s="1">
        <v>42760</v>
      </c>
      <c r="D143">
        <v>122.1</v>
      </c>
      <c r="E143">
        <v>120.28</v>
      </c>
      <c r="F143">
        <v>121.88</v>
      </c>
      <c r="G143">
        <f t="shared" si="18"/>
        <v>122.1</v>
      </c>
      <c r="H143">
        <f t="shared" si="19"/>
        <v>118.21</v>
      </c>
      <c r="I143">
        <f t="shared" si="13"/>
        <v>122.1</v>
      </c>
      <c r="J143">
        <f t="shared" si="14"/>
        <v>114.76</v>
      </c>
      <c r="K143">
        <f t="shared" si="16"/>
        <v>122.1</v>
      </c>
      <c r="L143">
        <f t="shared" si="17"/>
        <v>104.08</v>
      </c>
      <c r="M143">
        <f t="shared" si="20"/>
        <v>120.155</v>
      </c>
      <c r="N143">
        <f t="shared" si="20"/>
        <v>120.155</v>
      </c>
      <c r="O143">
        <f t="shared" si="11"/>
        <v>112.49000000000001</v>
      </c>
      <c r="P143">
        <f t="shared" si="12"/>
        <v>111.38499999999999</v>
      </c>
      <c r="Q143">
        <f t="shared" si="15"/>
        <v>115.97</v>
      </c>
    </row>
    <row r="144" spans="3:17" x14ac:dyDescent="0.25">
      <c r="C144" s="1">
        <v>42761</v>
      </c>
      <c r="D144">
        <v>122.44</v>
      </c>
      <c r="E144">
        <v>121.6</v>
      </c>
      <c r="F144">
        <v>121.94</v>
      </c>
      <c r="G144">
        <f t="shared" si="18"/>
        <v>122.44</v>
      </c>
      <c r="H144">
        <f t="shared" si="19"/>
        <v>118.22</v>
      </c>
      <c r="I144">
        <f t="shared" si="13"/>
        <v>122.44</v>
      </c>
      <c r="J144">
        <f t="shared" si="14"/>
        <v>114.76</v>
      </c>
      <c r="K144">
        <f t="shared" si="16"/>
        <v>122.44</v>
      </c>
      <c r="L144">
        <f t="shared" si="17"/>
        <v>104.08</v>
      </c>
      <c r="M144">
        <f t="shared" si="20"/>
        <v>120.33</v>
      </c>
      <c r="N144">
        <f t="shared" si="20"/>
        <v>120.33</v>
      </c>
      <c r="O144">
        <f t="shared" ref="O144:O207" si="21">($M118 + $N118)/2</f>
        <v>112.94499999999999</v>
      </c>
      <c r="P144">
        <f t="shared" ref="P144:P207" si="22">($K118 + $L118)/2</f>
        <v>111.38499999999999</v>
      </c>
      <c r="Q144">
        <f t="shared" si="15"/>
        <v>116.64</v>
      </c>
    </row>
    <row r="145" spans="3:17" x14ac:dyDescent="0.25">
      <c r="C145" s="1">
        <v>42762</v>
      </c>
      <c r="D145">
        <v>122.35</v>
      </c>
      <c r="E145">
        <v>121.6</v>
      </c>
      <c r="F145">
        <v>121.95</v>
      </c>
      <c r="G145">
        <f t="shared" si="18"/>
        <v>122.44</v>
      </c>
      <c r="H145">
        <f t="shared" si="19"/>
        <v>118.22</v>
      </c>
      <c r="I145">
        <f t="shared" si="13"/>
        <v>122.44</v>
      </c>
      <c r="J145">
        <f t="shared" si="14"/>
        <v>114.76</v>
      </c>
      <c r="K145">
        <f t="shared" si="16"/>
        <v>122.44</v>
      </c>
      <c r="L145">
        <f t="shared" si="17"/>
        <v>104.08</v>
      </c>
      <c r="M145">
        <f t="shared" si="20"/>
        <v>120.33</v>
      </c>
      <c r="N145">
        <f t="shared" si="20"/>
        <v>120.33</v>
      </c>
      <c r="O145">
        <f t="shared" si="21"/>
        <v>113.27</v>
      </c>
      <c r="P145">
        <f t="shared" si="22"/>
        <v>111.38499999999999</v>
      </c>
      <c r="Q145">
        <f t="shared" si="15"/>
        <v>116.95</v>
      </c>
    </row>
    <row r="146" spans="3:17" x14ac:dyDescent="0.25">
      <c r="C146" s="1">
        <v>42765</v>
      </c>
      <c r="D146">
        <v>121.63</v>
      </c>
      <c r="E146">
        <v>120.66</v>
      </c>
      <c r="F146">
        <v>121.63</v>
      </c>
      <c r="G146">
        <f t="shared" si="18"/>
        <v>122.44</v>
      </c>
      <c r="H146">
        <f t="shared" si="19"/>
        <v>119.37</v>
      </c>
      <c r="I146">
        <f t="shared" si="13"/>
        <v>122.44</v>
      </c>
      <c r="J146">
        <f t="shared" si="14"/>
        <v>114.76</v>
      </c>
      <c r="K146">
        <f t="shared" si="16"/>
        <v>122.44</v>
      </c>
      <c r="L146">
        <f t="shared" si="17"/>
        <v>104.08</v>
      </c>
      <c r="M146">
        <f t="shared" si="20"/>
        <v>120.905</v>
      </c>
      <c r="N146">
        <f t="shared" si="20"/>
        <v>120.905</v>
      </c>
      <c r="O146">
        <f t="shared" si="21"/>
        <v>114.05</v>
      </c>
      <c r="P146">
        <f t="shared" si="22"/>
        <v>111.38499999999999</v>
      </c>
      <c r="Q146">
        <f t="shared" si="15"/>
        <v>117.06</v>
      </c>
    </row>
    <row r="147" spans="3:17" x14ac:dyDescent="0.25">
      <c r="C147" s="1">
        <v>42766</v>
      </c>
      <c r="D147">
        <v>121.39</v>
      </c>
      <c r="E147">
        <v>120.62</v>
      </c>
      <c r="F147">
        <v>121.35</v>
      </c>
      <c r="G147">
        <f t="shared" si="18"/>
        <v>122.44</v>
      </c>
      <c r="H147">
        <f t="shared" si="19"/>
        <v>119.37</v>
      </c>
      <c r="I147">
        <f t="shared" si="13"/>
        <v>122.44</v>
      </c>
      <c r="J147">
        <f t="shared" si="14"/>
        <v>114.76</v>
      </c>
      <c r="K147">
        <f t="shared" si="16"/>
        <v>122.44</v>
      </c>
      <c r="L147">
        <f t="shared" si="17"/>
        <v>106.1593</v>
      </c>
      <c r="M147">
        <f t="shared" si="20"/>
        <v>120.905</v>
      </c>
      <c r="N147">
        <f t="shared" si="20"/>
        <v>120.905</v>
      </c>
      <c r="O147">
        <f t="shared" si="21"/>
        <v>114.905</v>
      </c>
      <c r="P147">
        <f t="shared" si="22"/>
        <v>111.38499999999999</v>
      </c>
      <c r="Q147">
        <f t="shared" si="15"/>
        <v>116.29</v>
      </c>
    </row>
    <row r="148" spans="3:17" x14ac:dyDescent="0.25">
      <c r="C148" s="1">
        <v>42767</v>
      </c>
      <c r="D148">
        <v>130.49</v>
      </c>
      <c r="E148">
        <v>127.01</v>
      </c>
      <c r="F148">
        <v>128.75</v>
      </c>
      <c r="G148">
        <f t="shared" si="18"/>
        <v>130.49</v>
      </c>
      <c r="H148">
        <f t="shared" si="19"/>
        <v>119.5</v>
      </c>
      <c r="I148">
        <f t="shared" si="13"/>
        <v>130.49</v>
      </c>
      <c r="J148">
        <f t="shared" si="14"/>
        <v>114.76</v>
      </c>
      <c r="K148">
        <f t="shared" si="16"/>
        <v>130.49</v>
      </c>
      <c r="L148">
        <f t="shared" si="17"/>
        <v>106.6</v>
      </c>
      <c r="M148">
        <f t="shared" si="20"/>
        <v>124.995</v>
      </c>
      <c r="N148">
        <f t="shared" si="20"/>
        <v>124.995</v>
      </c>
      <c r="O148">
        <f t="shared" si="21"/>
        <v>114.995</v>
      </c>
      <c r="P148">
        <f t="shared" si="22"/>
        <v>111.38499999999999</v>
      </c>
      <c r="Q148">
        <f t="shared" si="15"/>
        <v>116.52</v>
      </c>
    </row>
    <row r="149" spans="3:17" x14ac:dyDescent="0.25">
      <c r="C149" s="1">
        <v>42768</v>
      </c>
      <c r="D149">
        <v>129.38999999999999</v>
      </c>
      <c r="E149">
        <v>127.78</v>
      </c>
      <c r="F149">
        <v>128.53</v>
      </c>
      <c r="G149">
        <f t="shared" si="18"/>
        <v>130.49</v>
      </c>
      <c r="H149">
        <f t="shared" si="19"/>
        <v>119.5</v>
      </c>
      <c r="I149">
        <f t="shared" si="13"/>
        <v>130.49</v>
      </c>
      <c r="J149">
        <f t="shared" si="14"/>
        <v>114.76</v>
      </c>
      <c r="K149">
        <f t="shared" si="16"/>
        <v>130.49</v>
      </c>
      <c r="L149">
        <f t="shared" si="17"/>
        <v>108.25</v>
      </c>
      <c r="M149">
        <f t="shared" si="20"/>
        <v>124.995</v>
      </c>
      <c r="N149">
        <f t="shared" si="20"/>
        <v>124.995</v>
      </c>
      <c r="O149">
        <f t="shared" si="21"/>
        <v>115.625</v>
      </c>
      <c r="P149">
        <f t="shared" si="22"/>
        <v>111.22</v>
      </c>
      <c r="Q149">
        <f t="shared" si="15"/>
        <v>117.26</v>
      </c>
    </row>
    <row r="150" spans="3:17" x14ac:dyDescent="0.25">
      <c r="C150" s="1">
        <v>42769</v>
      </c>
      <c r="D150">
        <v>129.19</v>
      </c>
      <c r="E150">
        <v>128.16</v>
      </c>
      <c r="F150">
        <v>129.08000000000001</v>
      </c>
      <c r="G150">
        <f t="shared" si="18"/>
        <v>130.49</v>
      </c>
      <c r="H150">
        <f t="shared" si="19"/>
        <v>119.5</v>
      </c>
      <c r="I150">
        <f t="shared" si="13"/>
        <v>130.49</v>
      </c>
      <c r="J150">
        <f t="shared" si="14"/>
        <v>114.76</v>
      </c>
      <c r="K150">
        <f t="shared" si="16"/>
        <v>130.49</v>
      </c>
      <c r="L150">
        <f t="shared" si="17"/>
        <v>108.25</v>
      </c>
      <c r="M150">
        <f t="shared" si="20"/>
        <v>124.995</v>
      </c>
      <c r="N150">
        <f t="shared" si="20"/>
        <v>124.995</v>
      </c>
      <c r="O150">
        <f t="shared" si="21"/>
        <v>116.39</v>
      </c>
      <c r="P150">
        <f t="shared" si="22"/>
        <v>111.22</v>
      </c>
      <c r="Q150">
        <f t="shared" si="15"/>
        <v>116.76</v>
      </c>
    </row>
    <row r="151" spans="3:17" x14ac:dyDescent="0.25">
      <c r="C151" s="1">
        <v>42772</v>
      </c>
      <c r="D151">
        <v>130.5</v>
      </c>
      <c r="E151">
        <v>128.9</v>
      </c>
      <c r="F151">
        <v>130.29</v>
      </c>
      <c r="G151">
        <f t="shared" si="18"/>
        <v>130.5</v>
      </c>
      <c r="H151">
        <f t="shared" si="19"/>
        <v>120.28</v>
      </c>
      <c r="I151">
        <f t="shared" si="13"/>
        <v>130.5</v>
      </c>
      <c r="J151">
        <f t="shared" si="14"/>
        <v>114.76</v>
      </c>
      <c r="K151">
        <f t="shared" si="16"/>
        <v>130.5</v>
      </c>
      <c r="L151">
        <f t="shared" si="17"/>
        <v>108.25</v>
      </c>
      <c r="M151">
        <f t="shared" si="20"/>
        <v>125.39</v>
      </c>
      <c r="N151">
        <f t="shared" si="20"/>
        <v>125.39</v>
      </c>
      <c r="O151">
        <f t="shared" si="21"/>
        <v>116.6233</v>
      </c>
      <c r="P151">
        <f t="shared" si="22"/>
        <v>111.22</v>
      </c>
      <c r="Q151">
        <f t="shared" si="15"/>
        <v>116.73</v>
      </c>
    </row>
    <row r="152" spans="3:17" x14ac:dyDescent="0.25">
      <c r="C152" s="1">
        <v>42773</v>
      </c>
      <c r="D152">
        <v>132.09</v>
      </c>
      <c r="E152">
        <v>130.44999999999999</v>
      </c>
      <c r="F152">
        <v>131.53</v>
      </c>
      <c r="G152">
        <f t="shared" si="18"/>
        <v>132.09</v>
      </c>
      <c r="H152">
        <f t="shared" si="19"/>
        <v>120.62</v>
      </c>
      <c r="I152">
        <f t="shared" si="13"/>
        <v>132.09</v>
      </c>
      <c r="J152">
        <f t="shared" si="14"/>
        <v>114.76</v>
      </c>
      <c r="K152">
        <f t="shared" si="16"/>
        <v>132.09</v>
      </c>
      <c r="L152">
        <f t="shared" si="17"/>
        <v>108.25</v>
      </c>
      <c r="M152">
        <f t="shared" si="20"/>
        <v>126.355</v>
      </c>
      <c r="N152">
        <f t="shared" si="20"/>
        <v>126.355</v>
      </c>
      <c r="O152">
        <f t="shared" si="21"/>
        <v>116.80330000000001</v>
      </c>
      <c r="P152">
        <f t="shared" si="22"/>
        <v>111.22</v>
      </c>
      <c r="Q152">
        <f t="shared" si="15"/>
        <v>115.82</v>
      </c>
    </row>
    <row r="153" spans="3:17" x14ac:dyDescent="0.25">
      <c r="C153" s="1">
        <v>42774</v>
      </c>
      <c r="D153">
        <v>132.22</v>
      </c>
      <c r="E153">
        <v>131.22</v>
      </c>
      <c r="F153">
        <v>132.04</v>
      </c>
      <c r="G153">
        <f t="shared" si="18"/>
        <v>132.22</v>
      </c>
      <c r="H153">
        <f t="shared" si="19"/>
        <v>120.62</v>
      </c>
      <c r="I153">
        <f t="shared" si="13"/>
        <v>132.22</v>
      </c>
      <c r="J153">
        <f t="shared" si="14"/>
        <v>114.76</v>
      </c>
      <c r="K153">
        <f t="shared" si="16"/>
        <v>132.22</v>
      </c>
      <c r="L153">
        <f t="shared" si="17"/>
        <v>108.25</v>
      </c>
      <c r="M153">
        <f t="shared" si="20"/>
        <v>126.42</v>
      </c>
      <c r="N153">
        <f t="shared" si="20"/>
        <v>126.42</v>
      </c>
      <c r="O153">
        <f t="shared" si="21"/>
        <v>116.72329999999999</v>
      </c>
      <c r="P153">
        <f t="shared" si="22"/>
        <v>111.22</v>
      </c>
      <c r="Q153">
        <f t="shared" si="15"/>
        <v>116.15</v>
      </c>
    </row>
    <row r="154" spans="3:17" x14ac:dyDescent="0.25">
      <c r="C154" s="1">
        <v>42775</v>
      </c>
      <c r="D154">
        <v>132.44499999999999</v>
      </c>
      <c r="E154">
        <v>131.12</v>
      </c>
      <c r="F154">
        <v>132.41999999999999</v>
      </c>
      <c r="G154">
        <f t="shared" si="18"/>
        <v>132.44499999999999</v>
      </c>
      <c r="H154">
        <f t="shared" si="19"/>
        <v>120.62</v>
      </c>
      <c r="I154">
        <f t="shared" si="13"/>
        <v>132.44499999999999</v>
      </c>
      <c r="J154">
        <f t="shared" si="14"/>
        <v>115.75</v>
      </c>
      <c r="K154">
        <f t="shared" si="16"/>
        <v>132.44499999999999</v>
      </c>
      <c r="L154">
        <f t="shared" si="17"/>
        <v>108.25</v>
      </c>
      <c r="M154">
        <f t="shared" si="20"/>
        <v>126.5325</v>
      </c>
      <c r="N154">
        <f t="shared" si="20"/>
        <v>126.5325</v>
      </c>
      <c r="O154">
        <f t="shared" si="21"/>
        <v>116.3883</v>
      </c>
      <c r="P154">
        <f t="shared" si="22"/>
        <v>111.22</v>
      </c>
      <c r="Q154">
        <f t="shared" si="15"/>
        <v>116.02</v>
      </c>
    </row>
    <row r="155" spans="3:17" x14ac:dyDescent="0.25">
      <c r="C155" s="1">
        <v>42776</v>
      </c>
      <c r="D155">
        <v>132.94</v>
      </c>
      <c r="E155">
        <v>132.05000000000001</v>
      </c>
      <c r="F155">
        <v>132.12</v>
      </c>
      <c r="G155">
        <f t="shared" si="18"/>
        <v>132.94</v>
      </c>
      <c r="H155">
        <f t="shared" si="19"/>
        <v>120.62</v>
      </c>
      <c r="I155">
        <f t="shared" si="13"/>
        <v>132.94</v>
      </c>
      <c r="J155">
        <f t="shared" si="14"/>
        <v>115.81</v>
      </c>
      <c r="K155">
        <f t="shared" si="16"/>
        <v>132.94</v>
      </c>
      <c r="L155">
        <f t="shared" si="17"/>
        <v>108.25</v>
      </c>
      <c r="M155">
        <f t="shared" si="20"/>
        <v>126.78</v>
      </c>
      <c r="N155">
        <f t="shared" si="20"/>
        <v>126.78</v>
      </c>
      <c r="O155">
        <f t="shared" si="21"/>
        <v>116.3883</v>
      </c>
      <c r="P155">
        <f t="shared" si="22"/>
        <v>111.22</v>
      </c>
      <c r="Q155">
        <f t="shared" si="15"/>
        <v>116.61</v>
      </c>
    </row>
    <row r="156" spans="3:17" x14ac:dyDescent="0.25">
      <c r="C156" s="1">
        <v>42779</v>
      </c>
      <c r="D156">
        <v>133.82</v>
      </c>
      <c r="E156">
        <v>132.75</v>
      </c>
      <c r="F156">
        <v>133.29</v>
      </c>
      <c r="G156">
        <f t="shared" si="18"/>
        <v>133.82</v>
      </c>
      <c r="H156">
        <f t="shared" si="19"/>
        <v>127.01</v>
      </c>
      <c r="I156">
        <f t="shared" ref="I156:I219" si="23">MAX($D131:$D156)</f>
        <v>133.82</v>
      </c>
      <c r="J156">
        <f t="shared" ref="J156:J219" si="24">MIN($E131:$E156)</f>
        <v>116.47</v>
      </c>
      <c r="K156">
        <f t="shared" si="16"/>
        <v>133.82</v>
      </c>
      <c r="L156">
        <f t="shared" si="17"/>
        <v>108.25</v>
      </c>
      <c r="M156">
        <f t="shared" si="20"/>
        <v>130.41499999999999</v>
      </c>
      <c r="N156">
        <f t="shared" si="20"/>
        <v>130.41499999999999</v>
      </c>
      <c r="O156">
        <f t="shared" si="21"/>
        <v>116.3883</v>
      </c>
      <c r="P156">
        <f t="shared" si="22"/>
        <v>111.22</v>
      </c>
      <c r="Q156">
        <f t="shared" ref="Q156:Q219" si="25">$F131</f>
        <v>117.91</v>
      </c>
    </row>
    <row r="157" spans="3:17" x14ac:dyDescent="0.25">
      <c r="C157" s="1">
        <v>42780</v>
      </c>
      <c r="D157">
        <v>135.09</v>
      </c>
      <c r="E157">
        <v>133.25</v>
      </c>
      <c r="F157">
        <v>135.02000000000001</v>
      </c>
      <c r="G157">
        <f t="shared" si="18"/>
        <v>135.09</v>
      </c>
      <c r="H157">
        <f t="shared" si="19"/>
        <v>127.78</v>
      </c>
      <c r="I157">
        <f t="shared" si="23"/>
        <v>135.09</v>
      </c>
      <c r="J157">
        <f t="shared" si="24"/>
        <v>117.94</v>
      </c>
      <c r="K157">
        <f t="shared" si="16"/>
        <v>135.09</v>
      </c>
      <c r="L157">
        <f t="shared" si="17"/>
        <v>108.25</v>
      </c>
      <c r="M157">
        <f t="shared" si="20"/>
        <v>131.435</v>
      </c>
      <c r="N157">
        <f t="shared" si="20"/>
        <v>131.435</v>
      </c>
      <c r="O157">
        <f t="shared" si="21"/>
        <v>116.46000000000001</v>
      </c>
      <c r="P157">
        <f t="shared" si="22"/>
        <v>111.22</v>
      </c>
      <c r="Q157">
        <f t="shared" si="25"/>
        <v>118.99</v>
      </c>
    </row>
    <row r="158" spans="3:17" x14ac:dyDescent="0.25">
      <c r="C158" s="1">
        <v>42781</v>
      </c>
      <c r="D158">
        <v>136.27000000000001</v>
      </c>
      <c r="E158">
        <v>134.62</v>
      </c>
      <c r="F158">
        <v>135.51</v>
      </c>
      <c r="G158">
        <f t="shared" si="18"/>
        <v>136.27000000000001</v>
      </c>
      <c r="H158">
        <f t="shared" si="19"/>
        <v>128.16</v>
      </c>
      <c r="I158">
        <f t="shared" si="23"/>
        <v>136.27000000000001</v>
      </c>
      <c r="J158">
        <f t="shared" si="24"/>
        <v>118.21</v>
      </c>
      <c r="K158">
        <f t="shared" si="16"/>
        <v>136.27000000000001</v>
      </c>
      <c r="L158">
        <f t="shared" si="17"/>
        <v>108.25</v>
      </c>
      <c r="M158">
        <f t="shared" si="20"/>
        <v>132.215</v>
      </c>
      <c r="N158">
        <f t="shared" si="20"/>
        <v>132.215</v>
      </c>
      <c r="O158">
        <f t="shared" si="21"/>
        <v>117.095</v>
      </c>
      <c r="P158">
        <f t="shared" si="22"/>
        <v>111.755</v>
      </c>
      <c r="Q158">
        <f t="shared" si="25"/>
        <v>119.11</v>
      </c>
    </row>
    <row r="159" spans="3:17" x14ac:dyDescent="0.25">
      <c r="C159" s="1">
        <v>42782</v>
      </c>
      <c r="D159">
        <v>135.9</v>
      </c>
      <c r="E159">
        <v>134.8398</v>
      </c>
      <c r="F159">
        <v>135.345</v>
      </c>
      <c r="G159">
        <f t="shared" si="18"/>
        <v>136.27000000000001</v>
      </c>
      <c r="H159">
        <f t="shared" si="19"/>
        <v>128.9</v>
      </c>
      <c r="I159">
        <f t="shared" si="23"/>
        <v>136.27000000000001</v>
      </c>
      <c r="J159">
        <f t="shared" si="24"/>
        <v>118.21</v>
      </c>
      <c r="K159">
        <f t="shared" si="16"/>
        <v>136.27000000000001</v>
      </c>
      <c r="L159">
        <f t="shared" si="17"/>
        <v>108.25</v>
      </c>
      <c r="M159">
        <f t="shared" si="20"/>
        <v>132.58500000000001</v>
      </c>
      <c r="N159">
        <f t="shared" si="20"/>
        <v>132.58500000000001</v>
      </c>
      <c r="O159">
        <f t="shared" si="21"/>
        <v>117.095</v>
      </c>
      <c r="P159">
        <f t="shared" si="22"/>
        <v>111.755</v>
      </c>
      <c r="Q159">
        <f t="shared" si="25"/>
        <v>119.75</v>
      </c>
    </row>
    <row r="160" spans="3:17" x14ac:dyDescent="0.25">
      <c r="C160" s="1">
        <v>42783</v>
      </c>
      <c r="D160">
        <v>135.83000000000001</v>
      </c>
      <c r="E160">
        <v>135.1</v>
      </c>
      <c r="F160">
        <v>135.72</v>
      </c>
      <c r="G160">
        <f t="shared" si="18"/>
        <v>136.27000000000001</v>
      </c>
      <c r="H160">
        <f t="shared" si="19"/>
        <v>130.44999999999999</v>
      </c>
      <c r="I160">
        <f t="shared" si="23"/>
        <v>136.27000000000001</v>
      </c>
      <c r="J160">
        <f t="shared" si="24"/>
        <v>118.21</v>
      </c>
      <c r="K160">
        <f t="shared" si="16"/>
        <v>136.27000000000001</v>
      </c>
      <c r="L160">
        <f t="shared" si="17"/>
        <v>108.25</v>
      </c>
      <c r="M160">
        <f t="shared" si="20"/>
        <v>133.36000000000001</v>
      </c>
      <c r="N160">
        <f t="shared" si="20"/>
        <v>133.36000000000001</v>
      </c>
      <c r="O160">
        <f t="shared" si="21"/>
        <v>117.345</v>
      </c>
      <c r="P160">
        <f t="shared" si="22"/>
        <v>112.005</v>
      </c>
      <c r="Q160">
        <f t="shared" si="25"/>
        <v>119.25</v>
      </c>
    </row>
    <row r="161" spans="3:17" x14ac:dyDescent="0.25">
      <c r="C161" s="1">
        <v>42787</v>
      </c>
      <c r="D161">
        <v>136.75</v>
      </c>
      <c r="E161">
        <v>135.97999999999999</v>
      </c>
      <c r="F161">
        <v>136.69999999999999</v>
      </c>
      <c r="G161">
        <f t="shared" si="18"/>
        <v>136.75</v>
      </c>
      <c r="H161">
        <f t="shared" si="19"/>
        <v>131.12</v>
      </c>
      <c r="I161">
        <f t="shared" si="23"/>
        <v>136.75</v>
      </c>
      <c r="J161">
        <f t="shared" si="24"/>
        <v>118.22</v>
      </c>
      <c r="K161">
        <f t="shared" si="16"/>
        <v>136.75</v>
      </c>
      <c r="L161">
        <f t="shared" si="17"/>
        <v>109.16</v>
      </c>
      <c r="M161">
        <f t="shared" si="20"/>
        <v>133.935</v>
      </c>
      <c r="N161">
        <f t="shared" si="20"/>
        <v>133.935</v>
      </c>
      <c r="O161">
        <f t="shared" si="21"/>
        <v>117.345</v>
      </c>
      <c r="P161">
        <f t="shared" si="22"/>
        <v>112.005</v>
      </c>
      <c r="Q161">
        <f t="shared" si="25"/>
        <v>119.04</v>
      </c>
    </row>
    <row r="162" spans="3:17" x14ac:dyDescent="0.25">
      <c r="C162" s="1">
        <v>42788</v>
      </c>
      <c r="D162">
        <v>137.12</v>
      </c>
      <c r="E162">
        <v>136.11000000000001</v>
      </c>
      <c r="F162">
        <v>137.11000000000001</v>
      </c>
      <c r="G162">
        <f t="shared" si="18"/>
        <v>137.12</v>
      </c>
      <c r="H162">
        <f t="shared" si="19"/>
        <v>131.12</v>
      </c>
      <c r="I162">
        <f t="shared" si="23"/>
        <v>137.12</v>
      </c>
      <c r="J162">
        <f t="shared" si="24"/>
        <v>118.22</v>
      </c>
      <c r="K162">
        <f t="shared" si="16"/>
        <v>137.12</v>
      </c>
      <c r="L162">
        <f t="shared" si="17"/>
        <v>109.16</v>
      </c>
      <c r="M162">
        <f t="shared" si="20"/>
        <v>134.12</v>
      </c>
      <c r="N162">
        <f t="shared" si="20"/>
        <v>134.12</v>
      </c>
      <c r="O162">
        <f t="shared" si="21"/>
        <v>117.345</v>
      </c>
      <c r="P162">
        <f t="shared" si="22"/>
        <v>112.005</v>
      </c>
      <c r="Q162">
        <f t="shared" si="25"/>
        <v>120</v>
      </c>
    </row>
    <row r="163" spans="3:17" x14ac:dyDescent="0.25">
      <c r="C163" s="1">
        <v>42789</v>
      </c>
      <c r="D163">
        <v>137.47999999999999</v>
      </c>
      <c r="E163">
        <v>136.30000000000001</v>
      </c>
      <c r="F163">
        <v>136.53</v>
      </c>
      <c r="G163">
        <f t="shared" si="18"/>
        <v>137.47999999999999</v>
      </c>
      <c r="H163">
        <f t="shared" si="19"/>
        <v>132.05000000000001</v>
      </c>
      <c r="I163">
        <f t="shared" si="23"/>
        <v>137.47999999999999</v>
      </c>
      <c r="J163">
        <f t="shared" si="24"/>
        <v>119.37</v>
      </c>
      <c r="K163">
        <f t="shared" si="16"/>
        <v>137.47999999999999</v>
      </c>
      <c r="L163">
        <f t="shared" si="17"/>
        <v>110.6</v>
      </c>
      <c r="M163">
        <f t="shared" si="20"/>
        <v>134.76499999999999</v>
      </c>
      <c r="N163">
        <f t="shared" si="20"/>
        <v>134.76499999999999</v>
      </c>
      <c r="O163">
        <f t="shared" si="21"/>
        <v>117.995</v>
      </c>
      <c r="P163">
        <f t="shared" si="22"/>
        <v>112.16</v>
      </c>
      <c r="Q163">
        <f t="shared" si="25"/>
        <v>119.99</v>
      </c>
    </row>
    <row r="164" spans="3:17" x14ac:dyDescent="0.25">
      <c r="C164" s="1">
        <v>42790</v>
      </c>
      <c r="D164">
        <v>136.66</v>
      </c>
      <c r="E164">
        <v>135.28</v>
      </c>
      <c r="F164">
        <v>136.66</v>
      </c>
      <c r="G164">
        <f t="shared" si="18"/>
        <v>137.47999999999999</v>
      </c>
      <c r="H164">
        <f t="shared" si="19"/>
        <v>132.75</v>
      </c>
      <c r="I164">
        <f t="shared" si="23"/>
        <v>137.47999999999999</v>
      </c>
      <c r="J164">
        <f t="shared" si="24"/>
        <v>119.37</v>
      </c>
      <c r="K164">
        <f t="shared" si="16"/>
        <v>137.47999999999999</v>
      </c>
      <c r="L164">
        <f t="shared" si="17"/>
        <v>112.31</v>
      </c>
      <c r="M164">
        <f t="shared" si="20"/>
        <v>135.11500000000001</v>
      </c>
      <c r="N164">
        <f t="shared" si="20"/>
        <v>135.11500000000001</v>
      </c>
      <c r="O164">
        <f t="shared" si="21"/>
        <v>118.155</v>
      </c>
      <c r="P164">
        <f t="shared" si="22"/>
        <v>112.28999999999999</v>
      </c>
      <c r="Q164">
        <f t="shared" si="25"/>
        <v>119.78</v>
      </c>
    </row>
    <row r="165" spans="3:17" x14ac:dyDescent="0.25">
      <c r="C165" s="1">
        <v>42793</v>
      </c>
      <c r="D165">
        <v>137.435</v>
      </c>
      <c r="E165">
        <v>136.28</v>
      </c>
      <c r="F165">
        <v>136.93</v>
      </c>
      <c r="G165">
        <f t="shared" si="18"/>
        <v>137.47999999999999</v>
      </c>
      <c r="H165">
        <f t="shared" si="19"/>
        <v>133.25</v>
      </c>
      <c r="I165">
        <f t="shared" si="23"/>
        <v>137.47999999999999</v>
      </c>
      <c r="J165">
        <f t="shared" si="24"/>
        <v>119.5</v>
      </c>
      <c r="K165">
        <f t="shared" si="16"/>
        <v>137.47999999999999</v>
      </c>
      <c r="L165">
        <f t="shared" si="17"/>
        <v>112.49</v>
      </c>
      <c r="M165">
        <f t="shared" si="20"/>
        <v>135.36500000000001</v>
      </c>
      <c r="N165">
        <f t="shared" si="20"/>
        <v>135.36500000000001</v>
      </c>
      <c r="O165">
        <f t="shared" si="21"/>
        <v>118.485</v>
      </c>
      <c r="P165">
        <f t="shared" si="22"/>
        <v>112.28999999999999</v>
      </c>
      <c r="Q165">
        <f t="shared" si="25"/>
        <v>120</v>
      </c>
    </row>
    <row r="166" spans="3:17" x14ac:dyDescent="0.25">
      <c r="C166" s="1">
        <v>42794</v>
      </c>
      <c r="D166">
        <v>137.435</v>
      </c>
      <c r="E166">
        <v>136.69999999999999</v>
      </c>
      <c r="F166">
        <v>136.99</v>
      </c>
      <c r="G166">
        <f t="shared" si="18"/>
        <v>137.47999999999999</v>
      </c>
      <c r="H166">
        <f t="shared" si="19"/>
        <v>134.62</v>
      </c>
      <c r="I166">
        <f t="shared" si="23"/>
        <v>137.47999999999999</v>
      </c>
      <c r="J166">
        <f t="shared" si="24"/>
        <v>119.5</v>
      </c>
      <c r="K166">
        <f t="shared" si="16"/>
        <v>137.47999999999999</v>
      </c>
      <c r="L166">
        <f t="shared" si="17"/>
        <v>113.75</v>
      </c>
      <c r="M166">
        <f t="shared" si="20"/>
        <v>136.05000000000001</v>
      </c>
      <c r="N166">
        <f t="shared" si="20"/>
        <v>136.05000000000001</v>
      </c>
      <c r="O166">
        <f t="shared" si="21"/>
        <v>119.22</v>
      </c>
      <c r="P166">
        <f t="shared" si="22"/>
        <v>112.28999999999999</v>
      </c>
      <c r="Q166">
        <f t="shared" si="25"/>
        <v>120.08</v>
      </c>
    </row>
    <row r="167" spans="3:17" x14ac:dyDescent="0.25">
      <c r="C167" s="1">
        <v>42795</v>
      </c>
      <c r="D167">
        <v>140.15</v>
      </c>
      <c r="E167">
        <v>137.595</v>
      </c>
      <c r="F167">
        <v>139.79</v>
      </c>
      <c r="G167">
        <f t="shared" si="18"/>
        <v>140.15</v>
      </c>
      <c r="H167">
        <f t="shared" si="19"/>
        <v>134.8398</v>
      </c>
      <c r="I167">
        <f t="shared" si="23"/>
        <v>140.15</v>
      </c>
      <c r="J167">
        <f t="shared" si="24"/>
        <v>119.5</v>
      </c>
      <c r="K167">
        <f t="shared" si="16"/>
        <v>140.15</v>
      </c>
      <c r="L167">
        <f t="shared" si="17"/>
        <v>114.76</v>
      </c>
      <c r="M167">
        <f t="shared" si="20"/>
        <v>137.4949</v>
      </c>
      <c r="N167">
        <f t="shared" si="20"/>
        <v>137.4949</v>
      </c>
      <c r="O167">
        <f t="shared" si="21"/>
        <v>119.50999999999999</v>
      </c>
      <c r="P167">
        <f t="shared" si="22"/>
        <v>112.44499999999999</v>
      </c>
      <c r="Q167">
        <f t="shared" si="25"/>
        <v>119.97</v>
      </c>
    </row>
    <row r="168" spans="3:17" x14ac:dyDescent="0.25">
      <c r="C168" s="1">
        <v>42796</v>
      </c>
      <c r="D168">
        <v>140.27860000000001</v>
      </c>
      <c r="E168">
        <v>138.76</v>
      </c>
      <c r="F168">
        <v>138.96</v>
      </c>
      <c r="G168">
        <f t="shared" si="18"/>
        <v>140.27860000000001</v>
      </c>
      <c r="H168">
        <f t="shared" si="19"/>
        <v>135.1</v>
      </c>
      <c r="I168">
        <f t="shared" si="23"/>
        <v>140.27860000000001</v>
      </c>
      <c r="J168">
        <f t="shared" si="24"/>
        <v>120.28</v>
      </c>
      <c r="K168">
        <f t="shared" si="16"/>
        <v>140.27860000000001</v>
      </c>
      <c r="L168">
        <f t="shared" si="17"/>
        <v>114.76</v>
      </c>
      <c r="M168">
        <f t="shared" si="20"/>
        <v>137.6893</v>
      </c>
      <c r="N168">
        <f t="shared" si="20"/>
        <v>137.6893</v>
      </c>
      <c r="O168">
        <f t="shared" si="21"/>
        <v>119.50999999999999</v>
      </c>
      <c r="P168">
        <f t="shared" si="22"/>
        <v>112.44499999999999</v>
      </c>
      <c r="Q168">
        <f t="shared" si="25"/>
        <v>121.88</v>
      </c>
    </row>
    <row r="169" spans="3:17" x14ac:dyDescent="0.25">
      <c r="C169" s="1">
        <v>42797</v>
      </c>
      <c r="D169">
        <v>139.83000000000001</v>
      </c>
      <c r="E169">
        <v>138.59</v>
      </c>
      <c r="F169">
        <v>139.78</v>
      </c>
      <c r="G169">
        <f t="shared" si="18"/>
        <v>140.27860000000001</v>
      </c>
      <c r="H169">
        <f t="shared" si="19"/>
        <v>135.28</v>
      </c>
      <c r="I169">
        <f t="shared" si="23"/>
        <v>140.27860000000001</v>
      </c>
      <c r="J169">
        <f t="shared" si="24"/>
        <v>120.62</v>
      </c>
      <c r="K169">
        <f t="shared" si="16"/>
        <v>140.27860000000001</v>
      </c>
      <c r="L169">
        <f t="shared" si="17"/>
        <v>114.76</v>
      </c>
      <c r="M169">
        <f t="shared" si="20"/>
        <v>137.77930000000001</v>
      </c>
      <c r="N169">
        <f t="shared" si="20"/>
        <v>137.77930000000001</v>
      </c>
      <c r="O169">
        <f t="shared" si="21"/>
        <v>120.155</v>
      </c>
      <c r="P169">
        <f t="shared" si="22"/>
        <v>113.09</v>
      </c>
      <c r="Q169">
        <f t="shared" si="25"/>
        <v>121.94</v>
      </c>
    </row>
    <row r="170" spans="3:17" x14ac:dyDescent="0.25">
      <c r="C170" s="1">
        <v>42800</v>
      </c>
      <c r="D170">
        <v>139.77000000000001</v>
      </c>
      <c r="E170">
        <v>138.5959</v>
      </c>
      <c r="F170">
        <v>139.34</v>
      </c>
      <c r="G170">
        <f t="shared" si="18"/>
        <v>140.27860000000001</v>
      </c>
      <c r="H170">
        <f t="shared" si="19"/>
        <v>135.28</v>
      </c>
      <c r="I170">
        <f t="shared" si="23"/>
        <v>140.27860000000001</v>
      </c>
      <c r="J170">
        <f t="shared" si="24"/>
        <v>120.62</v>
      </c>
      <c r="K170">
        <f t="shared" si="16"/>
        <v>140.27860000000001</v>
      </c>
      <c r="L170">
        <f t="shared" si="17"/>
        <v>114.76</v>
      </c>
      <c r="M170">
        <f t="shared" si="20"/>
        <v>137.77930000000001</v>
      </c>
      <c r="N170">
        <f t="shared" si="20"/>
        <v>137.77930000000001</v>
      </c>
      <c r="O170">
        <f t="shared" si="21"/>
        <v>120.33</v>
      </c>
      <c r="P170">
        <f t="shared" si="22"/>
        <v>113.25999999999999</v>
      </c>
      <c r="Q170">
        <f t="shared" si="25"/>
        <v>121.95</v>
      </c>
    </row>
    <row r="171" spans="3:17" x14ac:dyDescent="0.25">
      <c r="C171" s="1">
        <v>42801</v>
      </c>
      <c r="D171">
        <v>139.97999999999999</v>
      </c>
      <c r="E171">
        <v>138.79</v>
      </c>
      <c r="F171">
        <v>139.52000000000001</v>
      </c>
      <c r="G171">
        <f t="shared" si="18"/>
        <v>140.27860000000001</v>
      </c>
      <c r="H171">
        <f t="shared" si="19"/>
        <v>135.28</v>
      </c>
      <c r="I171">
        <f t="shared" si="23"/>
        <v>140.27860000000001</v>
      </c>
      <c r="J171">
        <f t="shared" si="24"/>
        <v>120.62</v>
      </c>
      <c r="K171">
        <f t="shared" si="16"/>
        <v>140.27860000000001</v>
      </c>
      <c r="L171">
        <f t="shared" si="17"/>
        <v>114.76</v>
      </c>
      <c r="M171">
        <f t="shared" si="20"/>
        <v>137.77930000000001</v>
      </c>
      <c r="N171">
        <f t="shared" si="20"/>
        <v>137.77930000000001</v>
      </c>
      <c r="O171">
        <f t="shared" si="21"/>
        <v>120.33</v>
      </c>
      <c r="P171">
        <f t="shared" si="22"/>
        <v>113.25999999999999</v>
      </c>
      <c r="Q171">
        <f t="shared" si="25"/>
        <v>121.63</v>
      </c>
    </row>
    <row r="172" spans="3:17" x14ac:dyDescent="0.25">
      <c r="C172" s="1">
        <v>42802</v>
      </c>
      <c r="D172">
        <v>139.80000000000001</v>
      </c>
      <c r="E172">
        <v>138.82</v>
      </c>
      <c r="F172">
        <v>139</v>
      </c>
      <c r="G172">
        <f t="shared" si="18"/>
        <v>140.27860000000001</v>
      </c>
      <c r="H172">
        <f t="shared" si="19"/>
        <v>135.28</v>
      </c>
      <c r="I172">
        <f t="shared" si="23"/>
        <v>140.27860000000001</v>
      </c>
      <c r="J172">
        <f t="shared" si="24"/>
        <v>120.62</v>
      </c>
      <c r="K172">
        <f t="shared" si="16"/>
        <v>140.27860000000001</v>
      </c>
      <c r="L172">
        <f t="shared" si="17"/>
        <v>114.76</v>
      </c>
      <c r="M172">
        <f t="shared" si="20"/>
        <v>137.77930000000001</v>
      </c>
      <c r="N172">
        <f t="shared" si="20"/>
        <v>137.77930000000001</v>
      </c>
      <c r="O172">
        <f t="shared" si="21"/>
        <v>120.905</v>
      </c>
      <c r="P172">
        <f t="shared" si="22"/>
        <v>113.25999999999999</v>
      </c>
      <c r="Q172">
        <f t="shared" si="25"/>
        <v>121.35</v>
      </c>
    </row>
    <row r="173" spans="3:17" x14ac:dyDescent="0.25">
      <c r="C173" s="1">
        <v>42803</v>
      </c>
      <c r="D173">
        <v>138.79</v>
      </c>
      <c r="E173">
        <v>137.05000000000001</v>
      </c>
      <c r="F173">
        <v>138.68</v>
      </c>
      <c r="G173">
        <f t="shared" si="18"/>
        <v>140.27860000000001</v>
      </c>
      <c r="H173">
        <f t="shared" si="19"/>
        <v>136.28</v>
      </c>
      <c r="I173">
        <f t="shared" si="23"/>
        <v>140.27860000000001</v>
      </c>
      <c r="J173">
        <f t="shared" si="24"/>
        <v>127.01</v>
      </c>
      <c r="K173">
        <f t="shared" si="16"/>
        <v>140.27860000000001</v>
      </c>
      <c r="L173">
        <f t="shared" si="17"/>
        <v>114.76</v>
      </c>
      <c r="M173">
        <f t="shared" si="20"/>
        <v>138.27930000000001</v>
      </c>
      <c r="N173">
        <f t="shared" si="20"/>
        <v>138.27930000000001</v>
      </c>
      <c r="O173">
        <f t="shared" si="21"/>
        <v>120.905</v>
      </c>
      <c r="P173">
        <f t="shared" si="22"/>
        <v>114.29965</v>
      </c>
      <c r="Q173">
        <f t="shared" si="25"/>
        <v>128.75</v>
      </c>
    </row>
    <row r="174" spans="3:17" x14ac:dyDescent="0.25">
      <c r="C174" s="1">
        <v>42804</v>
      </c>
      <c r="D174">
        <v>139.3571</v>
      </c>
      <c r="E174">
        <v>138.63999999999999</v>
      </c>
      <c r="F174">
        <v>139.13999999999999</v>
      </c>
      <c r="G174">
        <f t="shared" si="18"/>
        <v>140.27860000000001</v>
      </c>
      <c r="H174">
        <f t="shared" si="19"/>
        <v>136.69999999999999</v>
      </c>
      <c r="I174">
        <f t="shared" si="23"/>
        <v>140.27860000000001</v>
      </c>
      <c r="J174">
        <f t="shared" si="24"/>
        <v>127.78</v>
      </c>
      <c r="K174">
        <f t="shared" si="16"/>
        <v>140.27860000000001</v>
      </c>
      <c r="L174">
        <f t="shared" si="17"/>
        <v>114.76</v>
      </c>
      <c r="M174">
        <f t="shared" si="20"/>
        <v>138.48930000000001</v>
      </c>
      <c r="N174">
        <f t="shared" si="20"/>
        <v>138.48930000000001</v>
      </c>
      <c r="O174">
        <f t="shared" si="21"/>
        <v>124.995</v>
      </c>
      <c r="P174">
        <f t="shared" si="22"/>
        <v>118.545</v>
      </c>
      <c r="Q174">
        <f t="shared" si="25"/>
        <v>128.53</v>
      </c>
    </row>
    <row r="175" spans="3:17" x14ac:dyDescent="0.25">
      <c r="C175" s="1">
        <v>42807</v>
      </c>
      <c r="D175">
        <v>139.43</v>
      </c>
      <c r="E175">
        <v>138.82</v>
      </c>
      <c r="F175">
        <v>139.19999999999999</v>
      </c>
      <c r="G175">
        <f t="shared" si="18"/>
        <v>140.27860000000001</v>
      </c>
      <c r="H175">
        <f t="shared" si="19"/>
        <v>137.05000000000001</v>
      </c>
      <c r="I175">
        <f t="shared" si="23"/>
        <v>140.27860000000001</v>
      </c>
      <c r="J175">
        <f t="shared" si="24"/>
        <v>128.16</v>
      </c>
      <c r="K175">
        <f t="shared" si="16"/>
        <v>140.27860000000001</v>
      </c>
      <c r="L175">
        <f t="shared" si="17"/>
        <v>114.76</v>
      </c>
      <c r="M175">
        <f t="shared" si="20"/>
        <v>138.66430000000003</v>
      </c>
      <c r="N175">
        <f t="shared" si="20"/>
        <v>138.66430000000003</v>
      </c>
      <c r="O175">
        <f t="shared" si="21"/>
        <v>124.995</v>
      </c>
      <c r="P175">
        <f t="shared" si="22"/>
        <v>119.37</v>
      </c>
      <c r="Q175">
        <f t="shared" si="25"/>
        <v>129.08000000000001</v>
      </c>
    </row>
    <row r="176" spans="3:17" x14ac:dyDescent="0.25">
      <c r="C176" s="1">
        <v>42808</v>
      </c>
      <c r="D176">
        <v>139.65</v>
      </c>
      <c r="E176">
        <v>138.84</v>
      </c>
      <c r="F176">
        <v>138.99</v>
      </c>
      <c r="G176">
        <f t="shared" si="18"/>
        <v>140.27860000000001</v>
      </c>
      <c r="H176">
        <f t="shared" si="19"/>
        <v>137.05000000000001</v>
      </c>
      <c r="I176">
        <f t="shared" si="23"/>
        <v>140.27860000000001</v>
      </c>
      <c r="J176">
        <f t="shared" si="24"/>
        <v>128.9</v>
      </c>
      <c r="K176">
        <f t="shared" si="16"/>
        <v>140.27860000000001</v>
      </c>
      <c r="L176">
        <f t="shared" si="17"/>
        <v>114.76</v>
      </c>
      <c r="M176">
        <f t="shared" si="20"/>
        <v>138.66430000000003</v>
      </c>
      <c r="N176">
        <f t="shared" si="20"/>
        <v>138.66430000000003</v>
      </c>
      <c r="O176">
        <f t="shared" si="21"/>
        <v>124.995</v>
      </c>
      <c r="P176">
        <f t="shared" si="22"/>
        <v>119.37</v>
      </c>
      <c r="Q176">
        <f t="shared" si="25"/>
        <v>130.29</v>
      </c>
    </row>
    <row r="177" spans="3:17" x14ac:dyDescent="0.25">
      <c r="C177" s="1">
        <v>42809</v>
      </c>
      <c r="D177">
        <v>140.7501</v>
      </c>
      <c r="E177">
        <v>139.02500000000001</v>
      </c>
      <c r="F177">
        <v>140.46</v>
      </c>
      <c r="G177">
        <f t="shared" si="18"/>
        <v>140.7501</v>
      </c>
      <c r="H177">
        <f t="shared" si="19"/>
        <v>137.05000000000001</v>
      </c>
      <c r="I177">
        <f t="shared" si="23"/>
        <v>140.7501</v>
      </c>
      <c r="J177">
        <f t="shared" si="24"/>
        <v>130.44999999999999</v>
      </c>
      <c r="K177">
        <f t="shared" si="16"/>
        <v>140.7501</v>
      </c>
      <c r="L177">
        <f t="shared" si="17"/>
        <v>114.76</v>
      </c>
      <c r="M177">
        <f t="shared" si="20"/>
        <v>138.90005000000002</v>
      </c>
      <c r="N177">
        <f t="shared" si="20"/>
        <v>138.90005000000002</v>
      </c>
      <c r="O177">
        <f t="shared" si="21"/>
        <v>125.39</v>
      </c>
      <c r="P177">
        <f t="shared" si="22"/>
        <v>119.375</v>
      </c>
      <c r="Q177">
        <f t="shared" si="25"/>
        <v>131.53</v>
      </c>
    </row>
    <row r="178" spans="3:17" x14ac:dyDescent="0.25">
      <c r="C178" s="1">
        <v>42810</v>
      </c>
      <c r="D178">
        <v>141.02000000000001</v>
      </c>
      <c r="E178">
        <v>140.26</v>
      </c>
      <c r="F178">
        <v>140.69</v>
      </c>
      <c r="G178">
        <f t="shared" si="18"/>
        <v>141.02000000000001</v>
      </c>
      <c r="H178">
        <f t="shared" si="19"/>
        <v>137.05000000000001</v>
      </c>
      <c r="I178">
        <f t="shared" si="23"/>
        <v>141.02000000000001</v>
      </c>
      <c r="J178">
        <f t="shared" si="24"/>
        <v>131.12</v>
      </c>
      <c r="K178">
        <f t="shared" si="16"/>
        <v>141.02000000000001</v>
      </c>
      <c r="L178">
        <f t="shared" si="17"/>
        <v>114.76</v>
      </c>
      <c r="M178">
        <f t="shared" si="20"/>
        <v>139.03500000000003</v>
      </c>
      <c r="N178">
        <f t="shared" si="20"/>
        <v>139.03500000000003</v>
      </c>
      <c r="O178">
        <f t="shared" si="21"/>
        <v>126.355</v>
      </c>
      <c r="P178">
        <f t="shared" si="22"/>
        <v>120.17</v>
      </c>
      <c r="Q178">
        <f t="shared" si="25"/>
        <v>132.04</v>
      </c>
    </row>
    <row r="179" spans="3:17" x14ac:dyDescent="0.25">
      <c r="C179" s="1">
        <v>42811</v>
      </c>
      <c r="D179">
        <v>141</v>
      </c>
      <c r="E179">
        <v>139.88999999999999</v>
      </c>
      <c r="F179">
        <v>139.99</v>
      </c>
      <c r="G179">
        <f t="shared" si="18"/>
        <v>141.02000000000001</v>
      </c>
      <c r="H179">
        <f t="shared" si="19"/>
        <v>137.05000000000001</v>
      </c>
      <c r="I179">
        <f t="shared" si="23"/>
        <v>141.02000000000001</v>
      </c>
      <c r="J179">
        <f t="shared" si="24"/>
        <v>131.12</v>
      </c>
      <c r="K179">
        <f t="shared" si="16"/>
        <v>141.02000000000001</v>
      </c>
      <c r="L179">
        <f t="shared" si="17"/>
        <v>114.76</v>
      </c>
      <c r="M179">
        <f t="shared" si="20"/>
        <v>139.03500000000003</v>
      </c>
      <c r="N179">
        <f t="shared" si="20"/>
        <v>139.03500000000003</v>
      </c>
      <c r="O179">
        <f t="shared" si="21"/>
        <v>126.42</v>
      </c>
      <c r="P179">
        <f t="shared" si="22"/>
        <v>120.235</v>
      </c>
      <c r="Q179">
        <f t="shared" si="25"/>
        <v>132.41999999999999</v>
      </c>
    </row>
    <row r="180" spans="3:17" x14ac:dyDescent="0.25">
      <c r="C180" s="1">
        <v>42814</v>
      </c>
      <c r="D180">
        <v>141.5</v>
      </c>
      <c r="E180">
        <v>140.22999999999999</v>
      </c>
      <c r="F180">
        <v>141.46</v>
      </c>
      <c r="G180">
        <f t="shared" si="18"/>
        <v>141.5</v>
      </c>
      <c r="H180">
        <f t="shared" si="19"/>
        <v>137.05000000000001</v>
      </c>
      <c r="I180">
        <f t="shared" si="23"/>
        <v>141.5</v>
      </c>
      <c r="J180">
        <f t="shared" si="24"/>
        <v>132.05000000000001</v>
      </c>
      <c r="K180">
        <f t="shared" si="16"/>
        <v>141.5</v>
      </c>
      <c r="L180">
        <f t="shared" si="17"/>
        <v>115.75</v>
      </c>
      <c r="M180">
        <f t="shared" si="20"/>
        <v>139.27500000000001</v>
      </c>
      <c r="N180">
        <f t="shared" si="20"/>
        <v>139.27500000000001</v>
      </c>
      <c r="O180">
        <f t="shared" si="21"/>
        <v>126.5325</v>
      </c>
      <c r="P180">
        <f t="shared" si="22"/>
        <v>120.3475</v>
      </c>
      <c r="Q180">
        <f t="shared" si="25"/>
        <v>132.12</v>
      </c>
    </row>
    <row r="181" spans="3:17" x14ac:dyDescent="0.25">
      <c r="C181" s="1">
        <v>42815</v>
      </c>
      <c r="D181">
        <v>142.80000000000001</v>
      </c>
      <c r="E181">
        <v>139.72999999999999</v>
      </c>
      <c r="F181">
        <v>139.84</v>
      </c>
      <c r="G181">
        <f t="shared" si="18"/>
        <v>142.80000000000001</v>
      </c>
      <c r="H181">
        <f t="shared" si="19"/>
        <v>137.05000000000001</v>
      </c>
      <c r="I181">
        <f t="shared" si="23"/>
        <v>142.80000000000001</v>
      </c>
      <c r="J181">
        <f t="shared" si="24"/>
        <v>132.75</v>
      </c>
      <c r="K181">
        <f t="shared" si="16"/>
        <v>142.80000000000001</v>
      </c>
      <c r="L181">
        <f t="shared" si="17"/>
        <v>115.81</v>
      </c>
      <c r="M181">
        <f t="shared" si="20"/>
        <v>139.92500000000001</v>
      </c>
      <c r="N181">
        <f t="shared" si="20"/>
        <v>139.92500000000001</v>
      </c>
      <c r="O181">
        <f t="shared" si="21"/>
        <v>126.78</v>
      </c>
      <c r="P181">
        <f t="shared" si="22"/>
        <v>120.595</v>
      </c>
      <c r="Q181">
        <f t="shared" si="25"/>
        <v>133.29</v>
      </c>
    </row>
    <row r="182" spans="3:17" x14ac:dyDescent="0.25">
      <c r="C182" s="1">
        <v>42816</v>
      </c>
      <c r="D182">
        <v>141.6</v>
      </c>
      <c r="E182">
        <v>139.76</v>
      </c>
      <c r="F182">
        <v>141.41999999999999</v>
      </c>
      <c r="G182">
        <f t="shared" si="18"/>
        <v>142.80000000000001</v>
      </c>
      <c r="H182">
        <f t="shared" si="19"/>
        <v>138.63999999999999</v>
      </c>
      <c r="I182">
        <f t="shared" si="23"/>
        <v>142.80000000000001</v>
      </c>
      <c r="J182">
        <f t="shared" si="24"/>
        <v>133.25</v>
      </c>
      <c r="K182">
        <f t="shared" ref="K182:K245" si="26">MAX($D131:$D182)</f>
        <v>142.80000000000001</v>
      </c>
      <c r="L182">
        <f t="shared" ref="L182:L245" si="27">MIN($E131:$E182)</f>
        <v>116.47</v>
      </c>
      <c r="M182">
        <f t="shared" si="20"/>
        <v>140.72</v>
      </c>
      <c r="N182">
        <f t="shared" si="20"/>
        <v>140.72</v>
      </c>
      <c r="O182">
        <f t="shared" si="21"/>
        <v>130.41499999999999</v>
      </c>
      <c r="P182">
        <f t="shared" si="22"/>
        <v>121.035</v>
      </c>
      <c r="Q182">
        <f t="shared" si="25"/>
        <v>135.02000000000001</v>
      </c>
    </row>
    <row r="183" spans="3:17" x14ac:dyDescent="0.25">
      <c r="C183" s="1">
        <v>42817</v>
      </c>
      <c r="D183">
        <v>141.58439999999999</v>
      </c>
      <c r="E183">
        <v>140.61000000000001</v>
      </c>
      <c r="F183">
        <v>140.91999999999999</v>
      </c>
      <c r="G183">
        <f t="shared" si="18"/>
        <v>142.80000000000001</v>
      </c>
      <c r="H183">
        <f t="shared" si="19"/>
        <v>138.82</v>
      </c>
      <c r="I183">
        <f t="shared" si="23"/>
        <v>142.80000000000001</v>
      </c>
      <c r="J183">
        <f t="shared" si="24"/>
        <v>134.62</v>
      </c>
      <c r="K183">
        <f t="shared" si="26"/>
        <v>142.80000000000001</v>
      </c>
      <c r="L183">
        <f t="shared" si="27"/>
        <v>117.94</v>
      </c>
      <c r="M183">
        <f t="shared" si="20"/>
        <v>140.81</v>
      </c>
      <c r="N183">
        <f t="shared" si="20"/>
        <v>140.81</v>
      </c>
      <c r="O183">
        <f t="shared" si="21"/>
        <v>131.435</v>
      </c>
      <c r="P183">
        <f t="shared" si="22"/>
        <v>121.67</v>
      </c>
      <c r="Q183">
        <f t="shared" si="25"/>
        <v>135.51</v>
      </c>
    </row>
    <row r="184" spans="3:17" x14ac:dyDescent="0.25">
      <c r="C184" s="1">
        <v>42818</v>
      </c>
      <c r="D184">
        <v>141.74</v>
      </c>
      <c r="E184">
        <v>140.35</v>
      </c>
      <c r="F184">
        <v>140.63999999999999</v>
      </c>
      <c r="G184">
        <f t="shared" si="18"/>
        <v>142.80000000000001</v>
      </c>
      <c r="H184">
        <f t="shared" si="19"/>
        <v>138.84</v>
      </c>
      <c r="I184">
        <f t="shared" si="23"/>
        <v>142.80000000000001</v>
      </c>
      <c r="J184">
        <f t="shared" si="24"/>
        <v>134.8398</v>
      </c>
      <c r="K184">
        <f t="shared" si="26"/>
        <v>142.80000000000001</v>
      </c>
      <c r="L184">
        <f t="shared" si="27"/>
        <v>118.21</v>
      </c>
      <c r="M184">
        <f t="shared" si="20"/>
        <v>140.82</v>
      </c>
      <c r="N184">
        <f t="shared" si="20"/>
        <v>140.82</v>
      </c>
      <c r="O184">
        <f t="shared" si="21"/>
        <v>132.215</v>
      </c>
      <c r="P184">
        <f t="shared" si="22"/>
        <v>122.26</v>
      </c>
      <c r="Q184">
        <f t="shared" si="25"/>
        <v>135.345</v>
      </c>
    </row>
    <row r="185" spans="3:17" x14ac:dyDescent="0.25">
      <c r="C185" s="1">
        <v>42821</v>
      </c>
      <c r="D185">
        <v>141.22</v>
      </c>
      <c r="E185">
        <v>138.62</v>
      </c>
      <c r="F185">
        <v>140.88</v>
      </c>
      <c r="G185">
        <f t="shared" si="18"/>
        <v>142.80000000000001</v>
      </c>
      <c r="H185">
        <f t="shared" si="19"/>
        <v>138.62</v>
      </c>
      <c r="I185">
        <f t="shared" si="23"/>
        <v>142.80000000000001</v>
      </c>
      <c r="J185">
        <f t="shared" si="24"/>
        <v>135.1</v>
      </c>
      <c r="K185">
        <f t="shared" si="26"/>
        <v>142.80000000000001</v>
      </c>
      <c r="L185">
        <f t="shared" si="27"/>
        <v>118.21</v>
      </c>
      <c r="M185">
        <f t="shared" si="20"/>
        <v>140.71</v>
      </c>
      <c r="N185">
        <f t="shared" si="20"/>
        <v>140.71</v>
      </c>
      <c r="O185">
        <f t="shared" si="21"/>
        <v>132.58500000000001</v>
      </c>
      <c r="P185">
        <f t="shared" si="22"/>
        <v>122.26</v>
      </c>
      <c r="Q185">
        <f t="shared" si="25"/>
        <v>135.72</v>
      </c>
    </row>
    <row r="186" spans="3:17" x14ac:dyDescent="0.25">
      <c r="C186" s="1">
        <v>42822</v>
      </c>
      <c r="D186">
        <v>144.04</v>
      </c>
      <c r="E186">
        <v>140.62</v>
      </c>
      <c r="F186">
        <v>143.80000000000001</v>
      </c>
      <c r="G186">
        <f t="shared" si="18"/>
        <v>144.04</v>
      </c>
      <c r="H186">
        <f t="shared" si="19"/>
        <v>138.62</v>
      </c>
      <c r="I186">
        <f t="shared" si="23"/>
        <v>144.04</v>
      </c>
      <c r="J186">
        <f t="shared" si="24"/>
        <v>135.28</v>
      </c>
      <c r="K186">
        <f t="shared" si="26"/>
        <v>144.04</v>
      </c>
      <c r="L186">
        <f t="shared" si="27"/>
        <v>118.21</v>
      </c>
      <c r="M186">
        <f t="shared" si="20"/>
        <v>141.32999999999998</v>
      </c>
      <c r="N186">
        <f t="shared" si="20"/>
        <v>141.32999999999998</v>
      </c>
      <c r="O186">
        <f t="shared" si="21"/>
        <v>133.36000000000001</v>
      </c>
      <c r="P186">
        <f t="shared" si="22"/>
        <v>122.26</v>
      </c>
      <c r="Q186">
        <f t="shared" si="25"/>
        <v>136.69999999999999</v>
      </c>
    </row>
    <row r="187" spans="3:17" x14ac:dyDescent="0.25">
      <c r="C187" s="1">
        <v>42823</v>
      </c>
      <c r="D187">
        <v>144.49</v>
      </c>
      <c r="E187">
        <v>143.19</v>
      </c>
      <c r="F187">
        <v>144.12</v>
      </c>
      <c r="G187">
        <f t="shared" si="18"/>
        <v>144.49</v>
      </c>
      <c r="H187">
        <f t="shared" si="19"/>
        <v>138.62</v>
      </c>
      <c r="I187">
        <f t="shared" si="23"/>
        <v>144.49</v>
      </c>
      <c r="J187">
        <f t="shared" si="24"/>
        <v>135.28</v>
      </c>
      <c r="K187">
        <f t="shared" si="26"/>
        <v>144.49</v>
      </c>
      <c r="L187">
        <f t="shared" si="27"/>
        <v>118.22</v>
      </c>
      <c r="M187">
        <f t="shared" si="20"/>
        <v>141.55500000000001</v>
      </c>
      <c r="N187">
        <f t="shared" si="20"/>
        <v>141.55500000000001</v>
      </c>
      <c r="O187">
        <f t="shared" si="21"/>
        <v>133.935</v>
      </c>
      <c r="P187">
        <f t="shared" si="22"/>
        <v>122.955</v>
      </c>
      <c r="Q187">
        <f t="shared" si="25"/>
        <v>137.11000000000001</v>
      </c>
    </row>
    <row r="188" spans="3:17" x14ac:dyDescent="0.25">
      <c r="C188" s="1">
        <v>42824</v>
      </c>
      <c r="D188">
        <v>144.5</v>
      </c>
      <c r="E188">
        <v>143.5</v>
      </c>
      <c r="F188">
        <v>143.93</v>
      </c>
      <c r="G188">
        <f t="shared" si="18"/>
        <v>144.5</v>
      </c>
      <c r="H188">
        <f t="shared" si="19"/>
        <v>138.62</v>
      </c>
      <c r="I188">
        <f t="shared" si="23"/>
        <v>144.5</v>
      </c>
      <c r="J188">
        <f t="shared" si="24"/>
        <v>135.28</v>
      </c>
      <c r="K188">
        <f t="shared" si="26"/>
        <v>144.5</v>
      </c>
      <c r="L188">
        <f t="shared" si="27"/>
        <v>118.22</v>
      </c>
      <c r="M188">
        <f t="shared" si="20"/>
        <v>141.56</v>
      </c>
      <c r="N188">
        <f t="shared" si="20"/>
        <v>141.56</v>
      </c>
      <c r="O188">
        <f t="shared" si="21"/>
        <v>134.12</v>
      </c>
      <c r="P188">
        <f t="shared" si="22"/>
        <v>123.14</v>
      </c>
      <c r="Q188">
        <f t="shared" si="25"/>
        <v>136.53</v>
      </c>
    </row>
    <row r="189" spans="3:17" x14ac:dyDescent="0.25">
      <c r="C189" s="1">
        <v>42825</v>
      </c>
      <c r="D189">
        <v>144.27000000000001</v>
      </c>
      <c r="E189">
        <v>143.01</v>
      </c>
      <c r="F189">
        <v>143.66</v>
      </c>
      <c r="G189">
        <f t="shared" si="18"/>
        <v>144.5</v>
      </c>
      <c r="H189">
        <f t="shared" si="19"/>
        <v>138.62</v>
      </c>
      <c r="I189">
        <f t="shared" si="23"/>
        <v>144.5</v>
      </c>
      <c r="J189">
        <f t="shared" si="24"/>
        <v>135.28</v>
      </c>
      <c r="K189">
        <f t="shared" si="26"/>
        <v>144.5</v>
      </c>
      <c r="L189">
        <f t="shared" si="27"/>
        <v>119.37</v>
      </c>
      <c r="M189">
        <f t="shared" si="20"/>
        <v>141.56</v>
      </c>
      <c r="N189">
        <f t="shared" si="20"/>
        <v>141.56</v>
      </c>
      <c r="O189">
        <f t="shared" si="21"/>
        <v>134.76499999999999</v>
      </c>
      <c r="P189">
        <f t="shared" si="22"/>
        <v>124.03999999999999</v>
      </c>
      <c r="Q189">
        <f t="shared" si="25"/>
        <v>136.66</v>
      </c>
    </row>
    <row r="190" spans="3:17" x14ac:dyDescent="0.25">
      <c r="C190" s="1">
        <v>42828</v>
      </c>
      <c r="D190">
        <v>144.12</v>
      </c>
      <c r="E190">
        <v>143.05000000000001</v>
      </c>
      <c r="F190">
        <v>143.69999999999999</v>
      </c>
      <c r="G190">
        <f t="shared" si="18"/>
        <v>144.5</v>
      </c>
      <c r="H190">
        <f t="shared" si="19"/>
        <v>138.62</v>
      </c>
      <c r="I190">
        <f t="shared" si="23"/>
        <v>144.5</v>
      </c>
      <c r="J190">
        <f t="shared" si="24"/>
        <v>136.28</v>
      </c>
      <c r="K190">
        <f t="shared" si="26"/>
        <v>144.5</v>
      </c>
      <c r="L190">
        <f t="shared" si="27"/>
        <v>119.37</v>
      </c>
      <c r="M190">
        <f t="shared" si="20"/>
        <v>141.56</v>
      </c>
      <c r="N190">
        <f t="shared" si="20"/>
        <v>141.56</v>
      </c>
      <c r="O190">
        <f t="shared" si="21"/>
        <v>135.11500000000001</v>
      </c>
      <c r="P190">
        <f t="shared" si="22"/>
        <v>124.895</v>
      </c>
      <c r="Q190">
        <f t="shared" si="25"/>
        <v>136.93</v>
      </c>
    </row>
    <row r="191" spans="3:17" x14ac:dyDescent="0.25">
      <c r="C191" s="1">
        <v>42829</v>
      </c>
      <c r="D191">
        <v>144.88999999999999</v>
      </c>
      <c r="E191">
        <v>143.16999999999999</v>
      </c>
      <c r="F191">
        <v>144.77000000000001</v>
      </c>
      <c r="G191">
        <f t="shared" si="18"/>
        <v>144.88999999999999</v>
      </c>
      <c r="H191">
        <f t="shared" si="19"/>
        <v>138.62</v>
      </c>
      <c r="I191">
        <f t="shared" si="23"/>
        <v>144.88999999999999</v>
      </c>
      <c r="J191">
        <f t="shared" si="24"/>
        <v>136.69999999999999</v>
      </c>
      <c r="K191">
        <f t="shared" si="26"/>
        <v>144.88999999999999</v>
      </c>
      <c r="L191">
        <f t="shared" si="27"/>
        <v>119.5</v>
      </c>
      <c r="M191">
        <f t="shared" si="20"/>
        <v>141.755</v>
      </c>
      <c r="N191">
        <f t="shared" si="20"/>
        <v>141.755</v>
      </c>
      <c r="O191">
        <f t="shared" si="21"/>
        <v>135.36500000000001</v>
      </c>
      <c r="P191">
        <f t="shared" si="22"/>
        <v>124.98499999999999</v>
      </c>
      <c r="Q191">
        <f t="shared" si="25"/>
        <v>136.99</v>
      </c>
    </row>
    <row r="192" spans="3:17" x14ac:dyDescent="0.25">
      <c r="C192" s="1">
        <v>42830</v>
      </c>
      <c r="D192">
        <v>145.46</v>
      </c>
      <c r="E192">
        <v>143.81</v>
      </c>
      <c r="F192">
        <v>144.02000000000001</v>
      </c>
      <c r="G192">
        <f t="shared" si="18"/>
        <v>145.46</v>
      </c>
      <c r="H192">
        <f t="shared" si="19"/>
        <v>138.62</v>
      </c>
      <c r="I192">
        <f t="shared" si="23"/>
        <v>145.46</v>
      </c>
      <c r="J192">
        <f t="shared" si="24"/>
        <v>137.05000000000001</v>
      </c>
      <c r="K192">
        <f t="shared" si="26"/>
        <v>145.46</v>
      </c>
      <c r="L192">
        <f t="shared" si="27"/>
        <v>119.5</v>
      </c>
      <c r="M192">
        <f t="shared" si="20"/>
        <v>142.04000000000002</v>
      </c>
      <c r="N192">
        <f t="shared" si="20"/>
        <v>142.04000000000002</v>
      </c>
      <c r="O192">
        <f t="shared" si="21"/>
        <v>136.05000000000001</v>
      </c>
      <c r="P192">
        <f t="shared" si="22"/>
        <v>125.61499999999999</v>
      </c>
      <c r="Q192">
        <f t="shared" si="25"/>
        <v>139.79</v>
      </c>
    </row>
    <row r="193" spans="3:17" x14ac:dyDescent="0.25">
      <c r="C193" s="1">
        <v>42831</v>
      </c>
      <c r="D193">
        <v>144.52000000000001</v>
      </c>
      <c r="E193">
        <v>143.44999999999999</v>
      </c>
      <c r="F193">
        <v>143.66</v>
      </c>
      <c r="G193">
        <f t="shared" si="18"/>
        <v>145.46</v>
      </c>
      <c r="H193">
        <f t="shared" si="19"/>
        <v>138.62</v>
      </c>
      <c r="I193">
        <f t="shared" si="23"/>
        <v>145.46</v>
      </c>
      <c r="J193">
        <f t="shared" si="24"/>
        <v>137.05000000000001</v>
      </c>
      <c r="K193">
        <f t="shared" si="26"/>
        <v>145.46</v>
      </c>
      <c r="L193">
        <f t="shared" si="27"/>
        <v>119.5</v>
      </c>
      <c r="M193">
        <f t="shared" si="20"/>
        <v>142.04000000000002</v>
      </c>
      <c r="N193">
        <f t="shared" si="20"/>
        <v>142.04000000000002</v>
      </c>
      <c r="O193">
        <f t="shared" si="21"/>
        <v>137.4949</v>
      </c>
      <c r="P193">
        <f t="shared" si="22"/>
        <v>127.45500000000001</v>
      </c>
      <c r="Q193">
        <f t="shared" si="25"/>
        <v>138.96</v>
      </c>
    </row>
    <row r="194" spans="3:17" x14ac:dyDescent="0.25">
      <c r="C194" s="1">
        <v>42832</v>
      </c>
      <c r="D194">
        <v>144.18</v>
      </c>
      <c r="E194">
        <v>143.27000000000001</v>
      </c>
      <c r="F194">
        <v>143.34</v>
      </c>
      <c r="G194">
        <f t="shared" si="18"/>
        <v>145.46</v>
      </c>
      <c r="H194">
        <f t="shared" si="19"/>
        <v>140.62</v>
      </c>
      <c r="I194">
        <f t="shared" si="23"/>
        <v>145.46</v>
      </c>
      <c r="J194">
        <f t="shared" si="24"/>
        <v>137.05000000000001</v>
      </c>
      <c r="K194">
        <f t="shared" si="26"/>
        <v>145.46</v>
      </c>
      <c r="L194">
        <f t="shared" si="27"/>
        <v>120.28</v>
      </c>
      <c r="M194">
        <f t="shared" si="20"/>
        <v>143.04000000000002</v>
      </c>
      <c r="N194">
        <f t="shared" si="20"/>
        <v>143.04000000000002</v>
      </c>
      <c r="O194">
        <f t="shared" si="21"/>
        <v>137.6893</v>
      </c>
      <c r="P194">
        <f t="shared" si="22"/>
        <v>127.51930000000002</v>
      </c>
      <c r="Q194">
        <f t="shared" si="25"/>
        <v>139.78</v>
      </c>
    </row>
    <row r="195" spans="3:17" x14ac:dyDescent="0.25">
      <c r="C195" s="1">
        <v>42835</v>
      </c>
      <c r="D195">
        <v>143.8792</v>
      </c>
      <c r="E195">
        <v>142.9</v>
      </c>
      <c r="F195">
        <v>143.16999999999999</v>
      </c>
      <c r="G195">
        <f t="shared" si="18"/>
        <v>145.46</v>
      </c>
      <c r="H195">
        <f t="shared" si="19"/>
        <v>142.9</v>
      </c>
      <c r="I195">
        <f t="shared" si="23"/>
        <v>145.46</v>
      </c>
      <c r="J195">
        <f t="shared" si="24"/>
        <v>137.05000000000001</v>
      </c>
      <c r="K195">
        <f t="shared" si="26"/>
        <v>145.46</v>
      </c>
      <c r="L195">
        <f t="shared" si="27"/>
        <v>120.62</v>
      </c>
      <c r="M195">
        <f t="shared" si="20"/>
        <v>144.18</v>
      </c>
      <c r="N195">
        <f t="shared" si="20"/>
        <v>144.18</v>
      </c>
      <c r="O195">
        <f t="shared" si="21"/>
        <v>137.77930000000001</v>
      </c>
      <c r="P195">
        <f t="shared" si="22"/>
        <v>127.51930000000002</v>
      </c>
      <c r="Q195">
        <f t="shared" si="25"/>
        <v>139.34</v>
      </c>
    </row>
    <row r="196" spans="3:17" x14ac:dyDescent="0.25">
      <c r="C196" s="1">
        <v>42836</v>
      </c>
      <c r="D196">
        <v>143.35</v>
      </c>
      <c r="E196">
        <v>140.06</v>
      </c>
      <c r="F196">
        <v>141.63</v>
      </c>
      <c r="G196">
        <f t="shared" si="18"/>
        <v>145.46</v>
      </c>
      <c r="H196">
        <f t="shared" si="19"/>
        <v>140.06</v>
      </c>
      <c r="I196">
        <f t="shared" si="23"/>
        <v>145.46</v>
      </c>
      <c r="J196">
        <f t="shared" si="24"/>
        <v>137.05000000000001</v>
      </c>
      <c r="K196">
        <f t="shared" si="26"/>
        <v>145.46</v>
      </c>
      <c r="L196">
        <f t="shared" si="27"/>
        <v>120.62</v>
      </c>
      <c r="M196">
        <f t="shared" si="20"/>
        <v>142.76</v>
      </c>
      <c r="N196">
        <f t="shared" si="20"/>
        <v>142.76</v>
      </c>
      <c r="O196">
        <f t="shared" si="21"/>
        <v>137.77930000000001</v>
      </c>
      <c r="P196">
        <f t="shared" si="22"/>
        <v>127.51930000000002</v>
      </c>
      <c r="Q196">
        <f t="shared" si="25"/>
        <v>139.52000000000001</v>
      </c>
    </row>
    <row r="197" spans="3:17" x14ac:dyDescent="0.25">
      <c r="C197" s="1">
        <v>42837</v>
      </c>
      <c r="D197">
        <v>142.15</v>
      </c>
      <c r="E197">
        <v>141.01</v>
      </c>
      <c r="F197">
        <v>141.80000000000001</v>
      </c>
      <c r="G197">
        <f t="shared" si="18"/>
        <v>145.46</v>
      </c>
      <c r="H197">
        <f t="shared" si="19"/>
        <v>140.06</v>
      </c>
      <c r="I197">
        <f t="shared" si="23"/>
        <v>145.46</v>
      </c>
      <c r="J197">
        <f t="shared" si="24"/>
        <v>137.05000000000001</v>
      </c>
      <c r="K197">
        <f t="shared" si="26"/>
        <v>145.46</v>
      </c>
      <c r="L197">
        <f t="shared" si="27"/>
        <v>120.62</v>
      </c>
      <c r="M197">
        <f t="shared" si="20"/>
        <v>142.76</v>
      </c>
      <c r="N197">
        <f t="shared" si="20"/>
        <v>142.76</v>
      </c>
      <c r="O197">
        <f t="shared" si="21"/>
        <v>137.77930000000001</v>
      </c>
      <c r="P197">
        <f t="shared" si="22"/>
        <v>127.51930000000002</v>
      </c>
      <c r="Q197">
        <f t="shared" si="25"/>
        <v>139</v>
      </c>
    </row>
    <row r="198" spans="3:17" x14ac:dyDescent="0.25">
      <c r="C198" s="1">
        <v>42838</v>
      </c>
      <c r="D198">
        <v>142.38</v>
      </c>
      <c r="E198">
        <v>141.05000000000001</v>
      </c>
      <c r="F198">
        <v>141.05000000000001</v>
      </c>
      <c r="G198">
        <f t="shared" si="18"/>
        <v>145.46</v>
      </c>
      <c r="H198">
        <f t="shared" si="19"/>
        <v>140.06</v>
      </c>
      <c r="I198">
        <f t="shared" si="23"/>
        <v>145.46</v>
      </c>
      <c r="J198">
        <f t="shared" si="24"/>
        <v>137.05000000000001</v>
      </c>
      <c r="K198">
        <f t="shared" si="26"/>
        <v>145.46</v>
      </c>
      <c r="L198">
        <f t="shared" si="27"/>
        <v>120.62</v>
      </c>
      <c r="M198">
        <f t="shared" si="20"/>
        <v>142.76</v>
      </c>
      <c r="N198">
        <f t="shared" si="20"/>
        <v>142.76</v>
      </c>
      <c r="O198">
        <f t="shared" si="21"/>
        <v>137.77930000000001</v>
      </c>
      <c r="P198">
        <f t="shared" si="22"/>
        <v>127.51930000000002</v>
      </c>
      <c r="Q198">
        <f t="shared" si="25"/>
        <v>138.68</v>
      </c>
    </row>
    <row r="199" spans="3:17" x14ac:dyDescent="0.25">
      <c r="C199" s="1">
        <v>42842</v>
      </c>
      <c r="D199">
        <v>141.88</v>
      </c>
      <c r="E199">
        <v>140.87</v>
      </c>
      <c r="F199">
        <v>141.83000000000001</v>
      </c>
      <c r="G199">
        <f t="shared" si="18"/>
        <v>145.46</v>
      </c>
      <c r="H199">
        <f t="shared" si="19"/>
        <v>140.06</v>
      </c>
      <c r="I199">
        <f t="shared" si="23"/>
        <v>145.46</v>
      </c>
      <c r="J199">
        <f t="shared" si="24"/>
        <v>138.62</v>
      </c>
      <c r="K199">
        <f t="shared" si="26"/>
        <v>145.46</v>
      </c>
      <c r="L199">
        <f t="shared" si="27"/>
        <v>127.01</v>
      </c>
      <c r="M199">
        <f t="shared" si="20"/>
        <v>142.76</v>
      </c>
      <c r="N199">
        <f t="shared" si="20"/>
        <v>142.76</v>
      </c>
      <c r="O199">
        <f t="shared" si="21"/>
        <v>138.27930000000001</v>
      </c>
      <c r="P199">
        <f t="shared" si="22"/>
        <v>127.51930000000002</v>
      </c>
      <c r="Q199">
        <f t="shared" si="25"/>
        <v>139.13999999999999</v>
      </c>
    </row>
    <row r="200" spans="3:17" x14ac:dyDescent="0.25">
      <c r="C200" s="1">
        <v>42843</v>
      </c>
      <c r="D200">
        <v>142.04</v>
      </c>
      <c r="E200">
        <v>141.11000000000001</v>
      </c>
      <c r="F200">
        <v>141.19999999999999</v>
      </c>
      <c r="G200">
        <f t="shared" si="18"/>
        <v>145.46</v>
      </c>
      <c r="H200">
        <f t="shared" si="19"/>
        <v>140.06</v>
      </c>
      <c r="I200">
        <f t="shared" si="23"/>
        <v>145.46</v>
      </c>
      <c r="J200">
        <f t="shared" si="24"/>
        <v>138.62</v>
      </c>
      <c r="K200">
        <f t="shared" si="26"/>
        <v>145.46</v>
      </c>
      <c r="L200">
        <f t="shared" si="27"/>
        <v>127.78</v>
      </c>
      <c r="M200">
        <f t="shared" si="20"/>
        <v>142.76</v>
      </c>
      <c r="N200">
        <f t="shared" si="20"/>
        <v>142.76</v>
      </c>
      <c r="O200">
        <f t="shared" si="21"/>
        <v>138.48930000000001</v>
      </c>
      <c r="P200">
        <f t="shared" si="22"/>
        <v>127.51930000000002</v>
      </c>
      <c r="Q200">
        <f t="shared" si="25"/>
        <v>139.19999999999999</v>
      </c>
    </row>
    <row r="201" spans="3:17" x14ac:dyDescent="0.25">
      <c r="C201" s="1">
        <v>42844</v>
      </c>
      <c r="D201">
        <v>142</v>
      </c>
      <c r="E201">
        <v>140.44999999999999</v>
      </c>
      <c r="F201">
        <v>140.68</v>
      </c>
      <c r="G201">
        <f t="shared" si="18"/>
        <v>144.52000000000001</v>
      </c>
      <c r="H201">
        <f t="shared" si="19"/>
        <v>140.06</v>
      </c>
      <c r="I201">
        <f t="shared" si="23"/>
        <v>145.46</v>
      </c>
      <c r="J201">
        <f t="shared" si="24"/>
        <v>138.62</v>
      </c>
      <c r="K201">
        <f t="shared" si="26"/>
        <v>145.46</v>
      </c>
      <c r="L201">
        <f t="shared" si="27"/>
        <v>128.16</v>
      </c>
      <c r="M201">
        <f t="shared" si="20"/>
        <v>142.29000000000002</v>
      </c>
      <c r="N201">
        <f t="shared" si="20"/>
        <v>142.29000000000002</v>
      </c>
      <c r="O201">
        <f t="shared" si="21"/>
        <v>138.66430000000003</v>
      </c>
      <c r="P201">
        <f t="shared" si="22"/>
        <v>127.51930000000002</v>
      </c>
      <c r="Q201">
        <f t="shared" si="25"/>
        <v>138.99</v>
      </c>
    </row>
    <row r="202" spans="3:17" x14ac:dyDescent="0.25">
      <c r="C202" s="1">
        <v>42845</v>
      </c>
      <c r="D202">
        <v>142.91999999999999</v>
      </c>
      <c r="E202">
        <v>141.16</v>
      </c>
      <c r="F202">
        <v>142.44</v>
      </c>
      <c r="G202">
        <f t="shared" si="18"/>
        <v>144.18</v>
      </c>
      <c r="H202">
        <f t="shared" si="19"/>
        <v>140.06</v>
      </c>
      <c r="I202">
        <f t="shared" si="23"/>
        <v>145.46</v>
      </c>
      <c r="J202">
        <f t="shared" si="24"/>
        <v>138.62</v>
      </c>
      <c r="K202">
        <f t="shared" si="26"/>
        <v>145.46</v>
      </c>
      <c r="L202">
        <f t="shared" si="27"/>
        <v>128.9</v>
      </c>
      <c r="M202">
        <f t="shared" si="20"/>
        <v>142.12</v>
      </c>
      <c r="N202">
        <f t="shared" si="20"/>
        <v>142.12</v>
      </c>
      <c r="O202">
        <f t="shared" si="21"/>
        <v>138.66430000000003</v>
      </c>
      <c r="P202">
        <f t="shared" si="22"/>
        <v>127.51930000000002</v>
      </c>
      <c r="Q202">
        <f t="shared" si="25"/>
        <v>140.46</v>
      </c>
    </row>
    <row r="203" spans="3:17" x14ac:dyDescent="0.25">
      <c r="C203" s="1">
        <v>42846</v>
      </c>
      <c r="D203">
        <v>142.68</v>
      </c>
      <c r="E203">
        <v>141.85</v>
      </c>
      <c r="F203">
        <v>142.27000000000001</v>
      </c>
      <c r="G203">
        <f t="shared" ref="G203:G257" si="28">MAX($D195:$D203)</f>
        <v>143.8792</v>
      </c>
      <c r="H203">
        <f t="shared" ref="H203:H257" si="29">MIN($E195:$E203)</f>
        <v>140.06</v>
      </c>
      <c r="I203">
        <f t="shared" si="23"/>
        <v>145.46</v>
      </c>
      <c r="J203">
        <f t="shared" si="24"/>
        <v>138.62</v>
      </c>
      <c r="K203">
        <f t="shared" si="26"/>
        <v>145.46</v>
      </c>
      <c r="L203">
        <f t="shared" si="27"/>
        <v>130.44999999999999</v>
      </c>
      <c r="M203">
        <f t="shared" ref="M203:N257" si="30">($G203 + $H203) / 2</f>
        <v>141.96960000000001</v>
      </c>
      <c r="N203">
        <f t="shared" si="30"/>
        <v>141.96960000000001</v>
      </c>
      <c r="O203">
        <f t="shared" si="21"/>
        <v>138.90005000000002</v>
      </c>
      <c r="P203">
        <f t="shared" si="22"/>
        <v>127.75505000000001</v>
      </c>
      <c r="Q203">
        <f t="shared" si="25"/>
        <v>140.69</v>
      </c>
    </row>
    <row r="204" spans="3:17" x14ac:dyDescent="0.25">
      <c r="C204" s="1">
        <v>42849</v>
      </c>
      <c r="D204">
        <v>143.94999999999999</v>
      </c>
      <c r="E204">
        <v>143.18</v>
      </c>
      <c r="F204">
        <v>143.63999999999999</v>
      </c>
      <c r="G204">
        <f t="shared" si="28"/>
        <v>143.94999999999999</v>
      </c>
      <c r="H204">
        <f t="shared" si="29"/>
        <v>140.06</v>
      </c>
      <c r="I204">
        <f t="shared" si="23"/>
        <v>145.46</v>
      </c>
      <c r="J204">
        <f t="shared" si="24"/>
        <v>138.62</v>
      </c>
      <c r="K204">
        <f t="shared" si="26"/>
        <v>145.46</v>
      </c>
      <c r="L204">
        <f t="shared" si="27"/>
        <v>131.12</v>
      </c>
      <c r="M204">
        <f t="shared" si="30"/>
        <v>142.005</v>
      </c>
      <c r="N204">
        <f t="shared" si="30"/>
        <v>142.005</v>
      </c>
      <c r="O204">
        <f t="shared" si="21"/>
        <v>139.03500000000003</v>
      </c>
      <c r="P204">
        <f t="shared" si="22"/>
        <v>127.89000000000001</v>
      </c>
      <c r="Q204">
        <f t="shared" si="25"/>
        <v>139.99</v>
      </c>
    </row>
    <row r="205" spans="3:17" x14ac:dyDescent="0.25">
      <c r="C205" s="1">
        <v>42850</v>
      </c>
      <c r="D205">
        <v>144.9</v>
      </c>
      <c r="E205">
        <v>143.87</v>
      </c>
      <c r="F205">
        <v>144.54</v>
      </c>
      <c r="G205">
        <f t="shared" si="28"/>
        <v>144.9</v>
      </c>
      <c r="H205">
        <f t="shared" si="29"/>
        <v>140.44999999999999</v>
      </c>
      <c r="I205">
        <f t="shared" si="23"/>
        <v>145.46</v>
      </c>
      <c r="J205">
        <f t="shared" si="24"/>
        <v>138.62</v>
      </c>
      <c r="K205">
        <f t="shared" si="26"/>
        <v>145.46</v>
      </c>
      <c r="L205">
        <f t="shared" si="27"/>
        <v>131.12</v>
      </c>
      <c r="M205">
        <f t="shared" si="30"/>
        <v>142.67500000000001</v>
      </c>
      <c r="N205">
        <f t="shared" si="30"/>
        <v>142.67500000000001</v>
      </c>
      <c r="O205">
        <f t="shared" si="21"/>
        <v>139.03500000000003</v>
      </c>
      <c r="P205">
        <f t="shared" si="22"/>
        <v>127.89000000000001</v>
      </c>
      <c r="Q205">
        <f t="shared" si="25"/>
        <v>141.46</v>
      </c>
    </row>
    <row r="206" spans="3:17" x14ac:dyDescent="0.25">
      <c r="C206" s="1">
        <v>42851</v>
      </c>
      <c r="D206">
        <v>144.6</v>
      </c>
      <c r="E206">
        <v>143.37620000000001</v>
      </c>
      <c r="F206">
        <v>143.6508</v>
      </c>
      <c r="G206">
        <f t="shared" si="28"/>
        <v>144.9</v>
      </c>
      <c r="H206">
        <f t="shared" si="29"/>
        <v>140.44999999999999</v>
      </c>
      <c r="I206">
        <f t="shared" si="23"/>
        <v>145.46</v>
      </c>
      <c r="J206">
        <f t="shared" si="24"/>
        <v>138.62</v>
      </c>
      <c r="K206">
        <f t="shared" si="26"/>
        <v>145.46</v>
      </c>
      <c r="L206">
        <f t="shared" si="27"/>
        <v>132.05000000000001</v>
      </c>
      <c r="M206">
        <f t="shared" si="30"/>
        <v>142.67500000000001</v>
      </c>
      <c r="N206">
        <f t="shared" si="30"/>
        <v>142.67500000000001</v>
      </c>
      <c r="O206">
        <f t="shared" si="21"/>
        <v>139.27500000000001</v>
      </c>
      <c r="P206">
        <f t="shared" si="22"/>
        <v>128.625</v>
      </c>
      <c r="Q206">
        <f t="shared" si="25"/>
        <v>139.84</v>
      </c>
    </row>
    <row r="207" spans="3:17" x14ac:dyDescent="0.25">
      <c r="C207" s="1">
        <v>42852</v>
      </c>
      <c r="D207">
        <v>144.16</v>
      </c>
      <c r="E207">
        <v>143.31</v>
      </c>
      <c r="F207">
        <v>143.79</v>
      </c>
      <c r="G207">
        <f t="shared" si="28"/>
        <v>144.9</v>
      </c>
      <c r="H207">
        <f t="shared" si="29"/>
        <v>140.44999999999999</v>
      </c>
      <c r="I207">
        <f t="shared" si="23"/>
        <v>145.46</v>
      </c>
      <c r="J207">
        <f t="shared" si="24"/>
        <v>138.62</v>
      </c>
      <c r="K207">
        <f t="shared" si="26"/>
        <v>145.46</v>
      </c>
      <c r="L207">
        <f t="shared" si="27"/>
        <v>132.75</v>
      </c>
      <c r="M207">
        <f t="shared" si="30"/>
        <v>142.67500000000001</v>
      </c>
      <c r="N207">
        <f t="shared" si="30"/>
        <v>142.67500000000001</v>
      </c>
      <c r="O207">
        <f t="shared" si="21"/>
        <v>139.92500000000001</v>
      </c>
      <c r="P207">
        <f t="shared" si="22"/>
        <v>129.30500000000001</v>
      </c>
      <c r="Q207">
        <f t="shared" si="25"/>
        <v>141.41999999999999</v>
      </c>
    </row>
    <row r="208" spans="3:17" x14ac:dyDescent="0.25">
      <c r="C208" s="1">
        <v>42853</v>
      </c>
      <c r="D208">
        <v>144.30000000000001</v>
      </c>
      <c r="E208">
        <v>143.27000000000001</v>
      </c>
      <c r="F208">
        <v>143.65</v>
      </c>
      <c r="G208">
        <f t="shared" si="28"/>
        <v>144.9</v>
      </c>
      <c r="H208">
        <f t="shared" si="29"/>
        <v>140.44999999999999</v>
      </c>
      <c r="I208">
        <f t="shared" si="23"/>
        <v>145.46</v>
      </c>
      <c r="J208">
        <f t="shared" si="24"/>
        <v>138.62</v>
      </c>
      <c r="K208">
        <f t="shared" si="26"/>
        <v>145.46</v>
      </c>
      <c r="L208">
        <f t="shared" si="27"/>
        <v>133.25</v>
      </c>
      <c r="M208">
        <f t="shared" si="30"/>
        <v>142.67500000000001</v>
      </c>
      <c r="N208">
        <f t="shared" si="30"/>
        <v>142.67500000000001</v>
      </c>
      <c r="O208">
        <f t="shared" ref="O208:O271" si="31">($M182 + $N182)/2</f>
        <v>140.72</v>
      </c>
      <c r="P208">
        <f t="shared" ref="P208:P271" si="32">($K182 + $L182)/2</f>
        <v>129.63499999999999</v>
      </c>
      <c r="Q208">
        <f t="shared" si="25"/>
        <v>140.91999999999999</v>
      </c>
    </row>
    <row r="209" spans="3:17" x14ac:dyDescent="0.25">
      <c r="C209" s="1">
        <v>42856</v>
      </c>
      <c r="D209">
        <v>147.19999999999999</v>
      </c>
      <c r="E209">
        <v>144.96</v>
      </c>
      <c r="F209">
        <v>146.6</v>
      </c>
      <c r="G209">
        <f t="shared" si="28"/>
        <v>147.19999999999999</v>
      </c>
      <c r="H209">
        <f t="shared" si="29"/>
        <v>140.44999999999999</v>
      </c>
      <c r="I209">
        <f t="shared" si="23"/>
        <v>147.19999999999999</v>
      </c>
      <c r="J209">
        <f t="shared" si="24"/>
        <v>138.62</v>
      </c>
      <c r="K209">
        <f t="shared" si="26"/>
        <v>147.19999999999999</v>
      </c>
      <c r="L209">
        <f t="shared" si="27"/>
        <v>134.62</v>
      </c>
      <c r="M209">
        <f t="shared" si="30"/>
        <v>143.82499999999999</v>
      </c>
      <c r="N209">
        <f t="shared" si="30"/>
        <v>143.82499999999999</v>
      </c>
      <c r="O209">
        <f t="shared" si="31"/>
        <v>140.81</v>
      </c>
      <c r="P209">
        <f t="shared" si="32"/>
        <v>130.37</v>
      </c>
      <c r="Q209">
        <f t="shared" si="25"/>
        <v>140.63999999999999</v>
      </c>
    </row>
    <row r="210" spans="3:17" x14ac:dyDescent="0.25">
      <c r="C210" s="1">
        <v>42857</v>
      </c>
      <c r="D210">
        <v>148.09</v>
      </c>
      <c r="E210">
        <v>146.84</v>
      </c>
      <c r="F210">
        <v>147.51</v>
      </c>
      <c r="G210">
        <f t="shared" si="28"/>
        <v>148.09</v>
      </c>
      <c r="H210">
        <f t="shared" si="29"/>
        <v>141.16</v>
      </c>
      <c r="I210">
        <f t="shared" si="23"/>
        <v>148.09</v>
      </c>
      <c r="J210">
        <f t="shared" si="24"/>
        <v>138.62</v>
      </c>
      <c r="K210">
        <f t="shared" si="26"/>
        <v>148.09</v>
      </c>
      <c r="L210">
        <f t="shared" si="27"/>
        <v>134.8398</v>
      </c>
      <c r="M210">
        <f t="shared" si="30"/>
        <v>144.625</v>
      </c>
      <c r="N210">
        <f t="shared" si="30"/>
        <v>144.625</v>
      </c>
      <c r="O210">
        <f t="shared" si="31"/>
        <v>140.82</v>
      </c>
      <c r="P210">
        <f t="shared" si="32"/>
        <v>130.505</v>
      </c>
      <c r="Q210">
        <f t="shared" si="25"/>
        <v>140.88</v>
      </c>
    </row>
    <row r="211" spans="3:17" x14ac:dyDescent="0.25">
      <c r="C211" s="1">
        <v>42858</v>
      </c>
      <c r="D211">
        <v>147.49</v>
      </c>
      <c r="E211">
        <v>144.27000000000001</v>
      </c>
      <c r="F211">
        <v>147.06</v>
      </c>
      <c r="G211">
        <f t="shared" si="28"/>
        <v>148.09</v>
      </c>
      <c r="H211">
        <f t="shared" si="29"/>
        <v>141.85</v>
      </c>
      <c r="I211">
        <f t="shared" si="23"/>
        <v>148.09</v>
      </c>
      <c r="J211">
        <f t="shared" si="24"/>
        <v>140.06</v>
      </c>
      <c r="K211">
        <f t="shared" si="26"/>
        <v>148.09</v>
      </c>
      <c r="L211">
        <f t="shared" si="27"/>
        <v>135.1</v>
      </c>
      <c r="M211">
        <f t="shared" si="30"/>
        <v>144.97</v>
      </c>
      <c r="N211">
        <f t="shared" si="30"/>
        <v>144.97</v>
      </c>
      <c r="O211">
        <f t="shared" si="31"/>
        <v>140.71</v>
      </c>
      <c r="P211">
        <f t="shared" si="32"/>
        <v>130.505</v>
      </c>
      <c r="Q211">
        <f t="shared" si="25"/>
        <v>143.80000000000001</v>
      </c>
    </row>
    <row r="212" spans="3:17" x14ac:dyDescent="0.25">
      <c r="C212" s="1">
        <v>42859</v>
      </c>
      <c r="D212">
        <v>147.13999999999999</v>
      </c>
      <c r="E212">
        <v>145.81</v>
      </c>
      <c r="F212">
        <v>146.53</v>
      </c>
      <c r="G212">
        <f t="shared" si="28"/>
        <v>148.09</v>
      </c>
      <c r="H212">
        <f t="shared" si="29"/>
        <v>143.18</v>
      </c>
      <c r="I212">
        <f t="shared" si="23"/>
        <v>148.09</v>
      </c>
      <c r="J212">
        <f t="shared" si="24"/>
        <v>140.06</v>
      </c>
      <c r="K212">
        <f t="shared" si="26"/>
        <v>148.09</v>
      </c>
      <c r="L212">
        <f t="shared" si="27"/>
        <v>135.28</v>
      </c>
      <c r="M212">
        <f t="shared" si="30"/>
        <v>145.63499999999999</v>
      </c>
      <c r="N212">
        <f t="shared" si="30"/>
        <v>145.63499999999999</v>
      </c>
      <c r="O212">
        <f t="shared" si="31"/>
        <v>141.32999999999998</v>
      </c>
      <c r="P212">
        <f t="shared" si="32"/>
        <v>131.125</v>
      </c>
      <c r="Q212">
        <f t="shared" si="25"/>
        <v>144.12</v>
      </c>
    </row>
    <row r="213" spans="3:17" x14ac:dyDescent="0.25">
      <c r="C213" s="1">
        <v>42860</v>
      </c>
      <c r="D213">
        <v>148.97999999999999</v>
      </c>
      <c r="E213">
        <v>146.76</v>
      </c>
      <c r="F213">
        <v>148.96</v>
      </c>
      <c r="G213">
        <f t="shared" si="28"/>
        <v>148.97999999999999</v>
      </c>
      <c r="H213">
        <f t="shared" si="29"/>
        <v>143.27000000000001</v>
      </c>
      <c r="I213">
        <f t="shared" si="23"/>
        <v>148.97999999999999</v>
      </c>
      <c r="J213">
        <f t="shared" si="24"/>
        <v>140.06</v>
      </c>
      <c r="K213">
        <f t="shared" si="26"/>
        <v>148.97999999999999</v>
      </c>
      <c r="L213">
        <f t="shared" si="27"/>
        <v>135.28</v>
      </c>
      <c r="M213">
        <f t="shared" si="30"/>
        <v>146.125</v>
      </c>
      <c r="N213">
        <f t="shared" si="30"/>
        <v>146.125</v>
      </c>
      <c r="O213">
        <f t="shared" si="31"/>
        <v>141.55500000000001</v>
      </c>
      <c r="P213">
        <f t="shared" si="32"/>
        <v>131.35500000000002</v>
      </c>
      <c r="Q213">
        <f t="shared" si="25"/>
        <v>143.93</v>
      </c>
    </row>
    <row r="214" spans="3:17" x14ac:dyDescent="0.25">
      <c r="C214" s="1">
        <v>42863</v>
      </c>
      <c r="D214">
        <v>153.69999999999999</v>
      </c>
      <c r="E214">
        <v>149.03</v>
      </c>
      <c r="F214">
        <v>153</v>
      </c>
      <c r="G214">
        <f t="shared" si="28"/>
        <v>153.69999999999999</v>
      </c>
      <c r="H214">
        <f t="shared" si="29"/>
        <v>143.27000000000001</v>
      </c>
      <c r="I214">
        <f t="shared" si="23"/>
        <v>153.69999999999999</v>
      </c>
      <c r="J214">
        <f t="shared" si="24"/>
        <v>140.06</v>
      </c>
      <c r="K214">
        <f t="shared" si="26"/>
        <v>153.69999999999999</v>
      </c>
      <c r="L214">
        <f t="shared" si="27"/>
        <v>135.28</v>
      </c>
      <c r="M214">
        <f t="shared" si="30"/>
        <v>148.48500000000001</v>
      </c>
      <c r="N214">
        <f t="shared" si="30"/>
        <v>148.48500000000001</v>
      </c>
      <c r="O214">
        <f t="shared" si="31"/>
        <v>141.56</v>
      </c>
      <c r="P214">
        <f t="shared" si="32"/>
        <v>131.36000000000001</v>
      </c>
      <c r="Q214">
        <f t="shared" si="25"/>
        <v>143.66</v>
      </c>
    </row>
    <row r="215" spans="3:17" x14ac:dyDescent="0.25">
      <c r="C215" s="1">
        <v>42864</v>
      </c>
      <c r="D215">
        <v>154.88</v>
      </c>
      <c r="E215">
        <v>153.44999999999999</v>
      </c>
      <c r="F215">
        <v>153.96</v>
      </c>
      <c r="G215">
        <f t="shared" si="28"/>
        <v>154.88</v>
      </c>
      <c r="H215">
        <f t="shared" si="29"/>
        <v>143.27000000000001</v>
      </c>
      <c r="I215">
        <f t="shared" si="23"/>
        <v>154.88</v>
      </c>
      <c r="J215">
        <f t="shared" si="24"/>
        <v>140.06</v>
      </c>
      <c r="K215">
        <f t="shared" si="26"/>
        <v>154.88</v>
      </c>
      <c r="L215">
        <f t="shared" si="27"/>
        <v>135.28</v>
      </c>
      <c r="M215">
        <f t="shared" si="30"/>
        <v>149.07499999999999</v>
      </c>
      <c r="N215">
        <f t="shared" si="30"/>
        <v>149.07499999999999</v>
      </c>
      <c r="O215">
        <f t="shared" si="31"/>
        <v>141.56</v>
      </c>
      <c r="P215">
        <f t="shared" si="32"/>
        <v>131.935</v>
      </c>
      <c r="Q215">
        <f t="shared" si="25"/>
        <v>143.69999999999999</v>
      </c>
    </row>
    <row r="216" spans="3:17" x14ac:dyDescent="0.25">
      <c r="C216" s="1">
        <v>42865</v>
      </c>
      <c r="D216">
        <v>153.94</v>
      </c>
      <c r="E216">
        <v>152.11000000000001</v>
      </c>
      <c r="F216">
        <v>153.26</v>
      </c>
      <c r="G216">
        <f t="shared" si="28"/>
        <v>154.88</v>
      </c>
      <c r="H216">
        <f t="shared" si="29"/>
        <v>143.27000000000001</v>
      </c>
      <c r="I216">
        <f t="shared" si="23"/>
        <v>154.88</v>
      </c>
      <c r="J216">
        <f t="shared" si="24"/>
        <v>140.06</v>
      </c>
      <c r="K216">
        <f t="shared" si="26"/>
        <v>154.88</v>
      </c>
      <c r="L216">
        <f t="shared" si="27"/>
        <v>136.28</v>
      </c>
      <c r="M216">
        <f t="shared" si="30"/>
        <v>149.07499999999999</v>
      </c>
      <c r="N216">
        <f t="shared" si="30"/>
        <v>149.07499999999999</v>
      </c>
      <c r="O216">
        <f t="shared" si="31"/>
        <v>141.56</v>
      </c>
      <c r="P216">
        <f t="shared" si="32"/>
        <v>131.935</v>
      </c>
      <c r="Q216">
        <f t="shared" si="25"/>
        <v>144.77000000000001</v>
      </c>
    </row>
    <row r="217" spans="3:17" x14ac:dyDescent="0.25">
      <c r="C217" s="1">
        <v>42866</v>
      </c>
      <c r="D217">
        <v>154.07</v>
      </c>
      <c r="E217">
        <v>152.31</v>
      </c>
      <c r="F217">
        <v>153.94999999999999</v>
      </c>
      <c r="G217">
        <f t="shared" si="28"/>
        <v>154.88</v>
      </c>
      <c r="H217">
        <f t="shared" si="29"/>
        <v>144.27000000000001</v>
      </c>
      <c r="I217">
        <f t="shared" si="23"/>
        <v>154.88</v>
      </c>
      <c r="J217">
        <f t="shared" si="24"/>
        <v>140.06</v>
      </c>
      <c r="K217">
        <f t="shared" si="26"/>
        <v>154.88</v>
      </c>
      <c r="L217">
        <f t="shared" si="27"/>
        <v>136.69999999999999</v>
      </c>
      <c r="M217">
        <f t="shared" si="30"/>
        <v>149.57499999999999</v>
      </c>
      <c r="N217">
        <f t="shared" si="30"/>
        <v>149.57499999999999</v>
      </c>
      <c r="O217">
        <f t="shared" si="31"/>
        <v>141.755</v>
      </c>
      <c r="P217">
        <f t="shared" si="32"/>
        <v>132.19499999999999</v>
      </c>
      <c r="Q217">
        <f t="shared" si="25"/>
        <v>144.02000000000001</v>
      </c>
    </row>
    <row r="218" spans="3:17" x14ac:dyDescent="0.25">
      <c r="C218" s="1">
        <v>42867</v>
      </c>
      <c r="D218">
        <v>156.41999999999999</v>
      </c>
      <c r="E218">
        <v>154.66999999999999</v>
      </c>
      <c r="F218">
        <v>156.1</v>
      </c>
      <c r="G218">
        <f t="shared" si="28"/>
        <v>156.41999999999999</v>
      </c>
      <c r="H218">
        <f t="shared" si="29"/>
        <v>144.27000000000001</v>
      </c>
      <c r="I218">
        <f t="shared" si="23"/>
        <v>156.41999999999999</v>
      </c>
      <c r="J218">
        <f t="shared" si="24"/>
        <v>140.06</v>
      </c>
      <c r="K218">
        <f t="shared" si="26"/>
        <v>156.41999999999999</v>
      </c>
      <c r="L218">
        <f t="shared" si="27"/>
        <v>137.05000000000001</v>
      </c>
      <c r="M218">
        <f t="shared" si="30"/>
        <v>150.345</v>
      </c>
      <c r="N218">
        <f t="shared" si="30"/>
        <v>150.345</v>
      </c>
      <c r="O218">
        <f t="shared" si="31"/>
        <v>142.04000000000002</v>
      </c>
      <c r="P218">
        <f t="shared" si="32"/>
        <v>132.48000000000002</v>
      </c>
      <c r="Q218">
        <f t="shared" si="25"/>
        <v>143.66</v>
      </c>
    </row>
    <row r="219" spans="3:17" x14ac:dyDescent="0.25">
      <c r="C219" s="1">
        <v>42870</v>
      </c>
      <c r="D219">
        <v>156.65</v>
      </c>
      <c r="E219">
        <v>155.05000000000001</v>
      </c>
      <c r="F219">
        <v>155.69999999999999</v>
      </c>
      <c r="G219">
        <f t="shared" si="28"/>
        <v>156.65</v>
      </c>
      <c r="H219">
        <f t="shared" si="29"/>
        <v>144.27000000000001</v>
      </c>
      <c r="I219">
        <f t="shared" si="23"/>
        <v>156.65</v>
      </c>
      <c r="J219">
        <f t="shared" si="24"/>
        <v>140.06</v>
      </c>
      <c r="K219">
        <f t="shared" si="26"/>
        <v>156.65</v>
      </c>
      <c r="L219">
        <f t="shared" si="27"/>
        <v>137.05000000000001</v>
      </c>
      <c r="M219">
        <f t="shared" si="30"/>
        <v>150.46</v>
      </c>
      <c r="N219">
        <f t="shared" si="30"/>
        <v>150.46</v>
      </c>
      <c r="O219">
        <f t="shared" si="31"/>
        <v>142.04000000000002</v>
      </c>
      <c r="P219">
        <f t="shared" si="32"/>
        <v>132.48000000000002</v>
      </c>
      <c r="Q219">
        <f t="shared" si="25"/>
        <v>143.34</v>
      </c>
    </row>
    <row r="220" spans="3:17" x14ac:dyDescent="0.25">
      <c r="C220" s="1">
        <v>42871</v>
      </c>
      <c r="D220">
        <v>156.06</v>
      </c>
      <c r="E220">
        <v>154.72</v>
      </c>
      <c r="F220">
        <v>155.47</v>
      </c>
      <c r="G220">
        <f t="shared" si="28"/>
        <v>156.65</v>
      </c>
      <c r="H220">
        <f t="shared" si="29"/>
        <v>145.81</v>
      </c>
      <c r="I220">
        <f t="shared" ref="I220:I274" si="33">MAX($D195:$D220)</f>
        <v>156.65</v>
      </c>
      <c r="J220">
        <f t="shared" ref="J220:J274" si="34">MIN($E195:$E220)</f>
        <v>140.06</v>
      </c>
      <c r="K220">
        <f t="shared" si="26"/>
        <v>156.65</v>
      </c>
      <c r="L220">
        <f t="shared" si="27"/>
        <v>137.05000000000001</v>
      </c>
      <c r="M220">
        <f t="shared" si="30"/>
        <v>151.23000000000002</v>
      </c>
      <c r="N220">
        <f t="shared" si="30"/>
        <v>151.23000000000002</v>
      </c>
      <c r="O220">
        <f t="shared" si="31"/>
        <v>143.04000000000002</v>
      </c>
      <c r="P220">
        <f t="shared" si="32"/>
        <v>132.87</v>
      </c>
      <c r="Q220">
        <f t="shared" ref="Q220:Q274" si="35">$F195</f>
        <v>143.16999999999999</v>
      </c>
    </row>
    <row r="221" spans="3:17" x14ac:dyDescent="0.25">
      <c r="C221" s="1">
        <v>42872</v>
      </c>
      <c r="D221">
        <v>154.57</v>
      </c>
      <c r="E221">
        <v>149.71</v>
      </c>
      <c r="F221">
        <v>150.25</v>
      </c>
      <c r="G221">
        <f t="shared" si="28"/>
        <v>156.65</v>
      </c>
      <c r="H221">
        <f t="shared" si="29"/>
        <v>146.76</v>
      </c>
      <c r="I221">
        <f t="shared" si="33"/>
        <v>156.65</v>
      </c>
      <c r="J221">
        <f t="shared" si="34"/>
        <v>140.06</v>
      </c>
      <c r="K221">
        <f t="shared" si="26"/>
        <v>156.65</v>
      </c>
      <c r="L221">
        <f t="shared" si="27"/>
        <v>137.05000000000001</v>
      </c>
      <c r="M221">
        <f t="shared" si="30"/>
        <v>151.70499999999998</v>
      </c>
      <c r="N221">
        <f t="shared" si="30"/>
        <v>151.70499999999998</v>
      </c>
      <c r="O221">
        <f t="shared" si="31"/>
        <v>144.18</v>
      </c>
      <c r="P221">
        <f t="shared" si="32"/>
        <v>133.04000000000002</v>
      </c>
      <c r="Q221">
        <f t="shared" si="35"/>
        <v>141.63</v>
      </c>
    </row>
    <row r="222" spans="3:17" x14ac:dyDescent="0.25">
      <c r="C222" s="1">
        <v>42873</v>
      </c>
      <c r="D222">
        <v>153.34</v>
      </c>
      <c r="E222">
        <v>151.13</v>
      </c>
      <c r="F222">
        <v>152.54</v>
      </c>
      <c r="G222">
        <f t="shared" si="28"/>
        <v>156.65</v>
      </c>
      <c r="H222">
        <f t="shared" si="29"/>
        <v>149.03</v>
      </c>
      <c r="I222">
        <f t="shared" si="33"/>
        <v>156.65</v>
      </c>
      <c r="J222">
        <f t="shared" si="34"/>
        <v>140.44999999999999</v>
      </c>
      <c r="K222">
        <f t="shared" si="26"/>
        <v>156.65</v>
      </c>
      <c r="L222">
        <f t="shared" si="27"/>
        <v>137.05000000000001</v>
      </c>
      <c r="M222">
        <f t="shared" si="30"/>
        <v>152.84</v>
      </c>
      <c r="N222">
        <f t="shared" si="30"/>
        <v>152.84</v>
      </c>
      <c r="O222">
        <f t="shared" si="31"/>
        <v>142.76</v>
      </c>
      <c r="P222">
        <f t="shared" si="32"/>
        <v>133.04000000000002</v>
      </c>
      <c r="Q222">
        <f t="shared" si="35"/>
        <v>141.80000000000001</v>
      </c>
    </row>
    <row r="223" spans="3:17" x14ac:dyDescent="0.25">
      <c r="C223" s="1">
        <v>42874</v>
      </c>
      <c r="D223">
        <v>153.97999999999999</v>
      </c>
      <c r="E223">
        <v>152.63</v>
      </c>
      <c r="F223">
        <v>152.96</v>
      </c>
      <c r="G223">
        <f t="shared" si="28"/>
        <v>156.65</v>
      </c>
      <c r="H223">
        <f t="shared" si="29"/>
        <v>149.71</v>
      </c>
      <c r="I223">
        <f t="shared" si="33"/>
        <v>156.65</v>
      </c>
      <c r="J223">
        <f t="shared" si="34"/>
        <v>140.44999999999999</v>
      </c>
      <c r="K223">
        <f t="shared" si="26"/>
        <v>156.65</v>
      </c>
      <c r="L223">
        <f t="shared" si="27"/>
        <v>137.05000000000001</v>
      </c>
      <c r="M223">
        <f t="shared" si="30"/>
        <v>153.18</v>
      </c>
      <c r="N223">
        <f t="shared" si="30"/>
        <v>153.18</v>
      </c>
      <c r="O223">
        <f t="shared" si="31"/>
        <v>142.76</v>
      </c>
      <c r="P223">
        <f t="shared" si="32"/>
        <v>133.04000000000002</v>
      </c>
      <c r="Q223">
        <f t="shared" si="35"/>
        <v>141.05000000000001</v>
      </c>
    </row>
    <row r="224" spans="3:17" x14ac:dyDescent="0.25">
      <c r="C224" s="1">
        <v>42877</v>
      </c>
      <c r="D224">
        <v>154.58000000000001</v>
      </c>
      <c r="E224">
        <v>152.91</v>
      </c>
      <c r="F224">
        <v>153.99</v>
      </c>
      <c r="G224">
        <f t="shared" si="28"/>
        <v>156.65</v>
      </c>
      <c r="H224">
        <f t="shared" si="29"/>
        <v>149.71</v>
      </c>
      <c r="I224">
        <f t="shared" si="33"/>
        <v>156.65</v>
      </c>
      <c r="J224">
        <f t="shared" si="34"/>
        <v>140.44999999999999</v>
      </c>
      <c r="K224">
        <f t="shared" si="26"/>
        <v>156.65</v>
      </c>
      <c r="L224">
        <f t="shared" si="27"/>
        <v>137.05000000000001</v>
      </c>
      <c r="M224">
        <f t="shared" si="30"/>
        <v>153.18</v>
      </c>
      <c r="N224">
        <f t="shared" si="30"/>
        <v>153.18</v>
      </c>
      <c r="O224">
        <f t="shared" si="31"/>
        <v>142.76</v>
      </c>
      <c r="P224">
        <f t="shared" si="32"/>
        <v>133.04000000000002</v>
      </c>
      <c r="Q224">
        <f t="shared" si="35"/>
        <v>141.83000000000001</v>
      </c>
    </row>
    <row r="225" spans="3:17" x14ac:dyDescent="0.25">
      <c r="C225" s="1">
        <v>42878</v>
      </c>
      <c r="D225">
        <v>154.9</v>
      </c>
      <c r="E225">
        <v>153.31</v>
      </c>
      <c r="F225">
        <v>153.80000000000001</v>
      </c>
      <c r="G225">
        <f t="shared" si="28"/>
        <v>156.65</v>
      </c>
      <c r="H225">
        <f t="shared" si="29"/>
        <v>149.71</v>
      </c>
      <c r="I225">
        <f t="shared" si="33"/>
        <v>156.65</v>
      </c>
      <c r="J225">
        <f t="shared" si="34"/>
        <v>140.44999999999999</v>
      </c>
      <c r="K225">
        <f t="shared" si="26"/>
        <v>156.65</v>
      </c>
      <c r="L225">
        <f t="shared" si="27"/>
        <v>138.62</v>
      </c>
      <c r="M225">
        <f t="shared" si="30"/>
        <v>153.18</v>
      </c>
      <c r="N225">
        <f t="shared" si="30"/>
        <v>153.18</v>
      </c>
      <c r="O225">
        <f t="shared" si="31"/>
        <v>142.76</v>
      </c>
      <c r="P225">
        <f t="shared" si="32"/>
        <v>136.23500000000001</v>
      </c>
      <c r="Q225">
        <f t="shared" si="35"/>
        <v>141.19999999999999</v>
      </c>
    </row>
    <row r="226" spans="3:17" x14ac:dyDescent="0.25">
      <c r="C226" s="1">
        <v>42879</v>
      </c>
      <c r="D226">
        <v>154.16999999999999</v>
      </c>
      <c r="E226">
        <v>152.66999999999999</v>
      </c>
      <c r="F226">
        <v>153.34</v>
      </c>
      <c r="G226">
        <f t="shared" si="28"/>
        <v>156.65</v>
      </c>
      <c r="H226">
        <f t="shared" si="29"/>
        <v>149.71</v>
      </c>
      <c r="I226">
        <f t="shared" si="33"/>
        <v>156.65</v>
      </c>
      <c r="J226">
        <f t="shared" si="34"/>
        <v>140.44999999999999</v>
      </c>
      <c r="K226">
        <f t="shared" si="26"/>
        <v>156.65</v>
      </c>
      <c r="L226">
        <f t="shared" si="27"/>
        <v>138.62</v>
      </c>
      <c r="M226">
        <f t="shared" si="30"/>
        <v>153.18</v>
      </c>
      <c r="N226">
        <f t="shared" si="30"/>
        <v>153.18</v>
      </c>
      <c r="O226">
        <f t="shared" si="31"/>
        <v>142.76</v>
      </c>
      <c r="P226">
        <f t="shared" si="32"/>
        <v>136.62</v>
      </c>
      <c r="Q226">
        <f t="shared" si="35"/>
        <v>140.68</v>
      </c>
    </row>
    <row r="227" spans="3:17" x14ac:dyDescent="0.25">
      <c r="C227" s="1">
        <v>42880</v>
      </c>
      <c r="D227">
        <v>154.35</v>
      </c>
      <c r="E227">
        <v>153.03</v>
      </c>
      <c r="F227">
        <v>153.87</v>
      </c>
      <c r="G227">
        <f t="shared" si="28"/>
        <v>156.65</v>
      </c>
      <c r="H227">
        <f t="shared" si="29"/>
        <v>149.71</v>
      </c>
      <c r="I227">
        <f t="shared" si="33"/>
        <v>156.65</v>
      </c>
      <c r="J227">
        <f t="shared" si="34"/>
        <v>141.16</v>
      </c>
      <c r="K227">
        <f t="shared" si="26"/>
        <v>156.65</v>
      </c>
      <c r="L227">
        <f t="shared" si="27"/>
        <v>138.62</v>
      </c>
      <c r="M227">
        <f t="shared" si="30"/>
        <v>153.18</v>
      </c>
      <c r="N227">
        <f t="shared" si="30"/>
        <v>153.18</v>
      </c>
      <c r="O227">
        <f t="shared" si="31"/>
        <v>142.29000000000002</v>
      </c>
      <c r="P227">
        <f t="shared" si="32"/>
        <v>136.81</v>
      </c>
      <c r="Q227">
        <f t="shared" si="35"/>
        <v>142.44</v>
      </c>
    </row>
    <row r="228" spans="3:17" x14ac:dyDescent="0.25">
      <c r="C228" s="1">
        <v>42881</v>
      </c>
      <c r="D228">
        <v>154.24</v>
      </c>
      <c r="E228">
        <v>153.31</v>
      </c>
      <c r="F228">
        <v>153.61000000000001</v>
      </c>
      <c r="G228">
        <f t="shared" si="28"/>
        <v>156.06</v>
      </c>
      <c r="H228">
        <f t="shared" si="29"/>
        <v>149.71</v>
      </c>
      <c r="I228">
        <f t="shared" si="33"/>
        <v>156.65</v>
      </c>
      <c r="J228">
        <f t="shared" si="34"/>
        <v>141.85</v>
      </c>
      <c r="K228">
        <f t="shared" si="26"/>
        <v>156.65</v>
      </c>
      <c r="L228">
        <f t="shared" si="27"/>
        <v>138.62</v>
      </c>
      <c r="M228">
        <f t="shared" si="30"/>
        <v>152.88499999999999</v>
      </c>
      <c r="N228">
        <f t="shared" si="30"/>
        <v>152.88499999999999</v>
      </c>
      <c r="O228">
        <f t="shared" si="31"/>
        <v>142.12</v>
      </c>
      <c r="P228">
        <f t="shared" si="32"/>
        <v>137.18</v>
      </c>
      <c r="Q228">
        <f t="shared" si="35"/>
        <v>142.27000000000001</v>
      </c>
    </row>
    <row r="229" spans="3:17" x14ac:dyDescent="0.25">
      <c r="C229" s="1">
        <v>42885</v>
      </c>
      <c r="D229">
        <v>154.43</v>
      </c>
      <c r="E229">
        <v>153.33000000000001</v>
      </c>
      <c r="F229">
        <v>153.66999999999999</v>
      </c>
      <c r="G229">
        <f t="shared" si="28"/>
        <v>154.9</v>
      </c>
      <c r="H229">
        <f t="shared" si="29"/>
        <v>149.71</v>
      </c>
      <c r="I229">
        <f t="shared" si="33"/>
        <v>156.65</v>
      </c>
      <c r="J229">
        <f t="shared" si="34"/>
        <v>143.18</v>
      </c>
      <c r="K229">
        <f t="shared" si="26"/>
        <v>156.65</v>
      </c>
      <c r="L229">
        <f t="shared" si="27"/>
        <v>138.62</v>
      </c>
      <c r="M229">
        <f t="shared" si="30"/>
        <v>152.30500000000001</v>
      </c>
      <c r="N229">
        <f t="shared" si="30"/>
        <v>152.30500000000001</v>
      </c>
      <c r="O229">
        <f t="shared" si="31"/>
        <v>141.96960000000001</v>
      </c>
      <c r="P229">
        <f t="shared" si="32"/>
        <v>137.95499999999998</v>
      </c>
      <c r="Q229">
        <f t="shared" si="35"/>
        <v>143.63999999999999</v>
      </c>
    </row>
    <row r="230" spans="3:17" x14ac:dyDescent="0.25">
      <c r="C230" s="1">
        <v>42886</v>
      </c>
      <c r="D230">
        <v>154.16999999999999</v>
      </c>
      <c r="E230">
        <v>152.38</v>
      </c>
      <c r="F230">
        <v>152.76</v>
      </c>
      <c r="G230">
        <f t="shared" si="28"/>
        <v>154.9</v>
      </c>
      <c r="H230">
        <f t="shared" si="29"/>
        <v>151.13</v>
      </c>
      <c r="I230">
        <f t="shared" si="33"/>
        <v>156.65</v>
      </c>
      <c r="J230">
        <f t="shared" si="34"/>
        <v>143.27000000000001</v>
      </c>
      <c r="K230">
        <f t="shared" si="26"/>
        <v>156.65</v>
      </c>
      <c r="L230">
        <f t="shared" si="27"/>
        <v>138.62</v>
      </c>
      <c r="M230">
        <f t="shared" si="30"/>
        <v>153.01499999999999</v>
      </c>
      <c r="N230">
        <f t="shared" si="30"/>
        <v>153.01499999999999</v>
      </c>
      <c r="O230">
        <f t="shared" si="31"/>
        <v>142.005</v>
      </c>
      <c r="P230">
        <f t="shared" si="32"/>
        <v>138.29000000000002</v>
      </c>
      <c r="Q230">
        <f t="shared" si="35"/>
        <v>144.54</v>
      </c>
    </row>
    <row r="231" spans="3:17" x14ac:dyDescent="0.25">
      <c r="C231" s="1">
        <v>42887</v>
      </c>
      <c r="D231">
        <v>153.33000000000001</v>
      </c>
      <c r="E231">
        <v>152.22</v>
      </c>
      <c r="F231">
        <v>153.18</v>
      </c>
      <c r="G231">
        <f t="shared" si="28"/>
        <v>154.9</v>
      </c>
      <c r="H231">
        <f t="shared" si="29"/>
        <v>152.22</v>
      </c>
      <c r="I231">
        <f t="shared" si="33"/>
        <v>156.65</v>
      </c>
      <c r="J231">
        <f t="shared" si="34"/>
        <v>143.27000000000001</v>
      </c>
      <c r="K231">
        <f t="shared" si="26"/>
        <v>156.65</v>
      </c>
      <c r="L231">
        <f t="shared" si="27"/>
        <v>138.62</v>
      </c>
      <c r="M231">
        <f t="shared" si="30"/>
        <v>153.56</v>
      </c>
      <c r="N231">
        <f t="shared" si="30"/>
        <v>153.56</v>
      </c>
      <c r="O231">
        <f t="shared" si="31"/>
        <v>142.67500000000001</v>
      </c>
      <c r="P231">
        <f t="shared" si="32"/>
        <v>138.29000000000002</v>
      </c>
      <c r="Q231">
        <f t="shared" si="35"/>
        <v>143.6508</v>
      </c>
    </row>
    <row r="232" spans="3:17" x14ac:dyDescent="0.25">
      <c r="C232" s="1">
        <v>42888</v>
      </c>
      <c r="D232">
        <v>155.44999999999999</v>
      </c>
      <c r="E232">
        <v>152.88999999999999</v>
      </c>
      <c r="F232">
        <v>155.44999999999999</v>
      </c>
      <c r="G232">
        <f t="shared" si="28"/>
        <v>155.44999999999999</v>
      </c>
      <c r="H232">
        <f t="shared" si="29"/>
        <v>152.22</v>
      </c>
      <c r="I232">
        <f t="shared" si="33"/>
        <v>156.65</v>
      </c>
      <c r="J232">
        <f t="shared" si="34"/>
        <v>143.27000000000001</v>
      </c>
      <c r="K232">
        <f t="shared" si="26"/>
        <v>156.65</v>
      </c>
      <c r="L232">
        <f t="shared" si="27"/>
        <v>138.62</v>
      </c>
      <c r="M232">
        <f t="shared" si="30"/>
        <v>153.83499999999998</v>
      </c>
      <c r="N232">
        <f t="shared" si="30"/>
        <v>153.83499999999998</v>
      </c>
      <c r="O232">
        <f t="shared" si="31"/>
        <v>142.67500000000001</v>
      </c>
      <c r="P232">
        <f t="shared" si="32"/>
        <v>138.755</v>
      </c>
      <c r="Q232">
        <f t="shared" si="35"/>
        <v>143.79</v>
      </c>
    </row>
    <row r="233" spans="3:17" x14ac:dyDescent="0.25">
      <c r="C233" s="1">
        <v>42891</v>
      </c>
      <c r="D233">
        <v>154.44999999999999</v>
      </c>
      <c r="E233">
        <v>153.46</v>
      </c>
      <c r="F233">
        <v>153.93</v>
      </c>
      <c r="G233">
        <f t="shared" si="28"/>
        <v>155.44999999999999</v>
      </c>
      <c r="H233">
        <f t="shared" si="29"/>
        <v>152.22</v>
      </c>
      <c r="I233">
        <f t="shared" si="33"/>
        <v>156.65</v>
      </c>
      <c r="J233">
        <f t="shared" si="34"/>
        <v>143.27000000000001</v>
      </c>
      <c r="K233">
        <f t="shared" si="26"/>
        <v>156.65</v>
      </c>
      <c r="L233">
        <f t="shared" si="27"/>
        <v>138.62</v>
      </c>
      <c r="M233">
        <f t="shared" si="30"/>
        <v>153.83499999999998</v>
      </c>
      <c r="N233">
        <f t="shared" si="30"/>
        <v>153.83499999999998</v>
      </c>
      <c r="O233">
        <f t="shared" si="31"/>
        <v>142.67500000000001</v>
      </c>
      <c r="P233">
        <f t="shared" si="32"/>
        <v>139.10500000000002</v>
      </c>
      <c r="Q233">
        <f t="shared" si="35"/>
        <v>143.65</v>
      </c>
    </row>
    <row r="234" spans="3:17" x14ac:dyDescent="0.25">
      <c r="C234" s="1">
        <v>42892</v>
      </c>
      <c r="D234">
        <v>155.81</v>
      </c>
      <c r="E234">
        <v>153.78</v>
      </c>
      <c r="F234">
        <v>154.44999999999999</v>
      </c>
      <c r="G234">
        <f t="shared" si="28"/>
        <v>155.81</v>
      </c>
      <c r="H234">
        <f t="shared" si="29"/>
        <v>152.22</v>
      </c>
      <c r="I234">
        <f t="shared" si="33"/>
        <v>156.65</v>
      </c>
      <c r="J234">
        <f t="shared" si="34"/>
        <v>144.27000000000001</v>
      </c>
      <c r="K234">
        <f t="shared" si="26"/>
        <v>156.65</v>
      </c>
      <c r="L234">
        <f t="shared" si="27"/>
        <v>138.62</v>
      </c>
      <c r="M234">
        <f t="shared" si="30"/>
        <v>154.01499999999999</v>
      </c>
      <c r="N234">
        <f t="shared" si="30"/>
        <v>154.01499999999999</v>
      </c>
      <c r="O234">
        <f t="shared" si="31"/>
        <v>142.67500000000001</v>
      </c>
      <c r="P234">
        <f t="shared" si="32"/>
        <v>139.35500000000002</v>
      </c>
      <c r="Q234">
        <f t="shared" si="35"/>
        <v>146.6</v>
      </c>
    </row>
    <row r="235" spans="3:17" x14ac:dyDescent="0.25">
      <c r="C235" s="1">
        <v>42893</v>
      </c>
      <c r="D235">
        <v>155.97999999999999</v>
      </c>
      <c r="E235">
        <v>154.47999999999999</v>
      </c>
      <c r="F235">
        <v>155.37</v>
      </c>
      <c r="G235">
        <f t="shared" si="28"/>
        <v>155.97999999999999</v>
      </c>
      <c r="H235">
        <f t="shared" si="29"/>
        <v>152.22</v>
      </c>
      <c r="I235">
        <f t="shared" si="33"/>
        <v>156.65</v>
      </c>
      <c r="J235">
        <f t="shared" si="34"/>
        <v>144.27000000000001</v>
      </c>
      <c r="K235">
        <f t="shared" si="26"/>
        <v>156.65</v>
      </c>
      <c r="L235">
        <f t="shared" si="27"/>
        <v>138.62</v>
      </c>
      <c r="M235">
        <f t="shared" si="30"/>
        <v>154.1</v>
      </c>
      <c r="N235">
        <f t="shared" si="30"/>
        <v>154.1</v>
      </c>
      <c r="O235">
        <f t="shared" si="31"/>
        <v>143.82499999999999</v>
      </c>
      <c r="P235">
        <f t="shared" si="32"/>
        <v>140.91</v>
      </c>
      <c r="Q235">
        <f t="shared" si="35"/>
        <v>147.51</v>
      </c>
    </row>
    <row r="236" spans="3:17" x14ac:dyDescent="0.25">
      <c r="C236" s="1">
        <v>42894</v>
      </c>
      <c r="D236">
        <v>155.54</v>
      </c>
      <c r="E236">
        <v>154.4</v>
      </c>
      <c r="F236">
        <v>154.99</v>
      </c>
      <c r="G236">
        <f t="shared" si="28"/>
        <v>155.97999999999999</v>
      </c>
      <c r="H236">
        <f t="shared" si="29"/>
        <v>152.22</v>
      </c>
      <c r="I236">
        <f t="shared" si="33"/>
        <v>156.65</v>
      </c>
      <c r="J236">
        <f t="shared" si="34"/>
        <v>144.27000000000001</v>
      </c>
      <c r="K236">
        <f t="shared" si="26"/>
        <v>156.65</v>
      </c>
      <c r="L236">
        <f t="shared" si="27"/>
        <v>138.62</v>
      </c>
      <c r="M236">
        <f t="shared" si="30"/>
        <v>154.1</v>
      </c>
      <c r="N236">
        <f t="shared" si="30"/>
        <v>154.1</v>
      </c>
      <c r="O236">
        <f t="shared" si="31"/>
        <v>144.625</v>
      </c>
      <c r="P236">
        <f t="shared" si="32"/>
        <v>141.4649</v>
      </c>
      <c r="Q236">
        <f t="shared" si="35"/>
        <v>147.06</v>
      </c>
    </row>
    <row r="237" spans="3:17" x14ac:dyDescent="0.25">
      <c r="C237" s="1">
        <v>42895</v>
      </c>
      <c r="D237">
        <v>155.19</v>
      </c>
      <c r="E237">
        <v>146.02000000000001</v>
      </c>
      <c r="F237">
        <v>148.97999999999999</v>
      </c>
      <c r="G237">
        <f t="shared" si="28"/>
        <v>155.97999999999999</v>
      </c>
      <c r="H237">
        <f t="shared" si="29"/>
        <v>146.02000000000001</v>
      </c>
      <c r="I237">
        <f t="shared" si="33"/>
        <v>156.65</v>
      </c>
      <c r="J237">
        <f t="shared" si="34"/>
        <v>145.81</v>
      </c>
      <c r="K237">
        <f t="shared" si="26"/>
        <v>156.65</v>
      </c>
      <c r="L237">
        <f t="shared" si="27"/>
        <v>140.06</v>
      </c>
      <c r="M237">
        <f t="shared" si="30"/>
        <v>151</v>
      </c>
      <c r="N237">
        <f t="shared" si="30"/>
        <v>151</v>
      </c>
      <c r="O237">
        <f t="shared" si="31"/>
        <v>144.97</v>
      </c>
      <c r="P237">
        <f t="shared" si="32"/>
        <v>141.595</v>
      </c>
      <c r="Q237">
        <f t="shared" si="35"/>
        <v>146.53</v>
      </c>
    </row>
    <row r="238" spans="3:17" x14ac:dyDescent="0.25">
      <c r="C238" s="1">
        <v>42898</v>
      </c>
      <c r="D238">
        <v>146.09</v>
      </c>
      <c r="E238">
        <v>142.51</v>
      </c>
      <c r="F238">
        <v>145.32</v>
      </c>
      <c r="G238">
        <f t="shared" si="28"/>
        <v>155.97999999999999</v>
      </c>
      <c r="H238">
        <f t="shared" si="29"/>
        <v>142.51</v>
      </c>
      <c r="I238">
        <f t="shared" si="33"/>
        <v>156.65</v>
      </c>
      <c r="J238">
        <f t="shared" si="34"/>
        <v>142.51</v>
      </c>
      <c r="K238">
        <f t="shared" si="26"/>
        <v>156.65</v>
      </c>
      <c r="L238">
        <f t="shared" si="27"/>
        <v>140.06</v>
      </c>
      <c r="M238">
        <f t="shared" si="30"/>
        <v>149.245</v>
      </c>
      <c r="N238">
        <f t="shared" si="30"/>
        <v>149.245</v>
      </c>
      <c r="O238">
        <f t="shared" si="31"/>
        <v>145.63499999999999</v>
      </c>
      <c r="P238">
        <f t="shared" si="32"/>
        <v>141.685</v>
      </c>
      <c r="Q238">
        <f t="shared" si="35"/>
        <v>148.96</v>
      </c>
    </row>
    <row r="239" spans="3:17" x14ac:dyDescent="0.25">
      <c r="C239" s="1">
        <v>42899</v>
      </c>
      <c r="D239">
        <v>147.44999999999999</v>
      </c>
      <c r="E239">
        <v>145.15</v>
      </c>
      <c r="F239">
        <v>146.59</v>
      </c>
      <c r="G239">
        <f t="shared" si="28"/>
        <v>155.97999999999999</v>
      </c>
      <c r="H239">
        <f t="shared" si="29"/>
        <v>142.51</v>
      </c>
      <c r="I239">
        <f t="shared" si="33"/>
        <v>156.65</v>
      </c>
      <c r="J239">
        <f t="shared" si="34"/>
        <v>142.51</v>
      </c>
      <c r="K239">
        <f t="shared" si="26"/>
        <v>156.65</v>
      </c>
      <c r="L239">
        <f t="shared" si="27"/>
        <v>140.06</v>
      </c>
      <c r="M239">
        <f t="shared" si="30"/>
        <v>149.245</v>
      </c>
      <c r="N239">
        <f t="shared" si="30"/>
        <v>149.245</v>
      </c>
      <c r="O239">
        <f t="shared" si="31"/>
        <v>146.125</v>
      </c>
      <c r="P239">
        <f t="shared" si="32"/>
        <v>142.13</v>
      </c>
      <c r="Q239">
        <f t="shared" si="35"/>
        <v>153</v>
      </c>
    </row>
    <row r="240" spans="3:17" x14ac:dyDescent="0.25">
      <c r="C240" s="1">
        <v>42900</v>
      </c>
      <c r="D240">
        <v>147.5</v>
      </c>
      <c r="E240">
        <v>143.84</v>
      </c>
      <c r="F240">
        <v>145.16</v>
      </c>
      <c r="G240">
        <f t="shared" si="28"/>
        <v>155.97999999999999</v>
      </c>
      <c r="H240">
        <f t="shared" si="29"/>
        <v>142.51</v>
      </c>
      <c r="I240">
        <f t="shared" si="33"/>
        <v>156.65</v>
      </c>
      <c r="J240">
        <f t="shared" si="34"/>
        <v>142.51</v>
      </c>
      <c r="K240">
        <f t="shared" si="26"/>
        <v>156.65</v>
      </c>
      <c r="L240">
        <f t="shared" si="27"/>
        <v>140.06</v>
      </c>
      <c r="M240">
        <f t="shared" si="30"/>
        <v>149.245</v>
      </c>
      <c r="N240">
        <f t="shared" si="30"/>
        <v>149.245</v>
      </c>
      <c r="O240">
        <f t="shared" si="31"/>
        <v>148.48500000000001</v>
      </c>
      <c r="P240">
        <f t="shared" si="32"/>
        <v>144.49</v>
      </c>
      <c r="Q240">
        <f t="shared" si="35"/>
        <v>153.96</v>
      </c>
    </row>
    <row r="241" spans="3:17" x14ac:dyDescent="0.25">
      <c r="C241" s="1">
        <v>42901</v>
      </c>
      <c r="D241">
        <v>144.47980000000001</v>
      </c>
      <c r="E241">
        <v>142.21</v>
      </c>
      <c r="F241">
        <v>144.29</v>
      </c>
      <c r="G241">
        <f t="shared" si="28"/>
        <v>155.97999999999999</v>
      </c>
      <c r="H241">
        <f t="shared" si="29"/>
        <v>142.21</v>
      </c>
      <c r="I241">
        <f t="shared" si="33"/>
        <v>156.65</v>
      </c>
      <c r="J241">
        <f t="shared" si="34"/>
        <v>142.21</v>
      </c>
      <c r="K241">
        <f t="shared" si="26"/>
        <v>156.65</v>
      </c>
      <c r="L241">
        <f t="shared" si="27"/>
        <v>140.06</v>
      </c>
      <c r="M241">
        <f t="shared" si="30"/>
        <v>149.095</v>
      </c>
      <c r="N241">
        <f t="shared" si="30"/>
        <v>149.095</v>
      </c>
      <c r="O241">
        <f t="shared" si="31"/>
        <v>149.07499999999999</v>
      </c>
      <c r="P241">
        <f t="shared" si="32"/>
        <v>145.07999999999998</v>
      </c>
      <c r="Q241">
        <f t="shared" si="35"/>
        <v>153.26</v>
      </c>
    </row>
    <row r="242" spans="3:17" x14ac:dyDescent="0.25">
      <c r="C242" s="1">
        <v>42902</v>
      </c>
      <c r="D242">
        <v>144.5</v>
      </c>
      <c r="E242">
        <v>142.19999999999999</v>
      </c>
      <c r="F242">
        <v>142.27000000000001</v>
      </c>
      <c r="G242">
        <f t="shared" si="28"/>
        <v>155.97999999999999</v>
      </c>
      <c r="H242">
        <f t="shared" si="29"/>
        <v>142.19999999999999</v>
      </c>
      <c r="I242">
        <f t="shared" si="33"/>
        <v>156.65</v>
      </c>
      <c r="J242">
        <f t="shared" si="34"/>
        <v>142.19999999999999</v>
      </c>
      <c r="K242">
        <f t="shared" si="26"/>
        <v>156.65</v>
      </c>
      <c r="L242">
        <f t="shared" si="27"/>
        <v>140.06</v>
      </c>
      <c r="M242">
        <f t="shared" si="30"/>
        <v>149.08999999999997</v>
      </c>
      <c r="N242">
        <f t="shared" si="30"/>
        <v>149.08999999999997</v>
      </c>
      <c r="O242">
        <f t="shared" si="31"/>
        <v>149.07499999999999</v>
      </c>
      <c r="P242">
        <f t="shared" si="32"/>
        <v>145.57999999999998</v>
      </c>
      <c r="Q242">
        <f t="shared" si="35"/>
        <v>153.94999999999999</v>
      </c>
    </row>
    <row r="243" spans="3:17" x14ac:dyDescent="0.25">
      <c r="C243" s="1">
        <v>42905</v>
      </c>
      <c r="D243">
        <v>146.74</v>
      </c>
      <c r="E243">
        <v>143.66</v>
      </c>
      <c r="F243">
        <v>146.34</v>
      </c>
      <c r="G243">
        <f t="shared" si="28"/>
        <v>155.97999999999999</v>
      </c>
      <c r="H243">
        <f t="shared" si="29"/>
        <v>142.19999999999999</v>
      </c>
      <c r="I243">
        <f t="shared" si="33"/>
        <v>156.65</v>
      </c>
      <c r="J243">
        <f t="shared" si="34"/>
        <v>142.19999999999999</v>
      </c>
      <c r="K243">
        <f t="shared" si="26"/>
        <v>156.65</v>
      </c>
      <c r="L243">
        <f t="shared" si="27"/>
        <v>140.06</v>
      </c>
      <c r="M243">
        <f t="shared" si="30"/>
        <v>149.08999999999997</v>
      </c>
      <c r="N243">
        <f t="shared" si="30"/>
        <v>149.08999999999997</v>
      </c>
      <c r="O243">
        <f t="shared" si="31"/>
        <v>149.57499999999999</v>
      </c>
      <c r="P243">
        <f t="shared" si="32"/>
        <v>145.79</v>
      </c>
      <c r="Q243">
        <f t="shared" si="35"/>
        <v>156.1</v>
      </c>
    </row>
    <row r="244" spans="3:17" x14ac:dyDescent="0.25">
      <c r="C244" s="1">
        <v>42906</v>
      </c>
      <c r="D244">
        <v>146.87</v>
      </c>
      <c r="E244">
        <v>144.94</v>
      </c>
      <c r="F244">
        <v>145.01</v>
      </c>
      <c r="G244">
        <f t="shared" si="28"/>
        <v>155.54</v>
      </c>
      <c r="H244">
        <f t="shared" si="29"/>
        <v>142.19999999999999</v>
      </c>
      <c r="I244">
        <f t="shared" si="33"/>
        <v>156.65</v>
      </c>
      <c r="J244">
        <f t="shared" si="34"/>
        <v>142.19999999999999</v>
      </c>
      <c r="K244">
        <f t="shared" si="26"/>
        <v>156.65</v>
      </c>
      <c r="L244">
        <f t="shared" si="27"/>
        <v>140.06</v>
      </c>
      <c r="M244">
        <f t="shared" si="30"/>
        <v>148.87</v>
      </c>
      <c r="N244">
        <f t="shared" si="30"/>
        <v>148.87</v>
      </c>
      <c r="O244">
        <f t="shared" si="31"/>
        <v>150.345</v>
      </c>
      <c r="P244">
        <f t="shared" si="32"/>
        <v>146.73500000000001</v>
      </c>
      <c r="Q244">
        <f t="shared" si="35"/>
        <v>155.69999999999999</v>
      </c>
    </row>
    <row r="245" spans="3:17" x14ac:dyDescent="0.25">
      <c r="C245" s="1">
        <v>42907</v>
      </c>
      <c r="D245">
        <v>146.0693</v>
      </c>
      <c r="E245">
        <v>144.61000000000001</v>
      </c>
      <c r="F245">
        <v>145.87</v>
      </c>
      <c r="G245">
        <f t="shared" si="28"/>
        <v>155.19</v>
      </c>
      <c r="H245">
        <f t="shared" si="29"/>
        <v>142.19999999999999</v>
      </c>
      <c r="I245">
        <f t="shared" si="33"/>
        <v>156.06</v>
      </c>
      <c r="J245">
        <f t="shared" si="34"/>
        <v>142.19999999999999</v>
      </c>
      <c r="K245">
        <f t="shared" si="26"/>
        <v>156.65</v>
      </c>
      <c r="L245">
        <f t="shared" si="27"/>
        <v>140.06</v>
      </c>
      <c r="M245">
        <f t="shared" si="30"/>
        <v>148.69499999999999</v>
      </c>
      <c r="N245">
        <f t="shared" si="30"/>
        <v>148.69499999999999</v>
      </c>
      <c r="O245">
        <f t="shared" si="31"/>
        <v>150.46</v>
      </c>
      <c r="P245">
        <f t="shared" si="32"/>
        <v>146.85000000000002</v>
      </c>
      <c r="Q245">
        <f t="shared" si="35"/>
        <v>155.47</v>
      </c>
    </row>
    <row r="246" spans="3:17" x14ac:dyDescent="0.25">
      <c r="C246" s="1">
        <v>42908</v>
      </c>
      <c r="D246">
        <v>146.69999999999999</v>
      </c>
      <c r="E246">
        <v>145.1199</v>
      </c>
      <c r="F246">
        <v>145.63</v>
      </c>
      <c r="G246">
        <f t="shared" si="28"/>
        <v>147.5</v>
      </c>
      <c r="H246">
        <f t="shared" si="29"/>
        <v>142.19999999999999</v>
      </c>
      <c r="I246">
        <f t="shared" si="33"/>
        <v>155.97999999999999</v>
      </c>
      <c r="J246">
        <f t="shared" si="34"/>
        <v>142.19999999999999</v>
      </c>
      <c r="K246">
        <f t="shared" ref="K246:K274" si="36">MAX($D195:$D246)</f>
        <v>156.65</v>
      </c>
      <c r="L246">
        <f t="shared" ref="L246:L274" si="37">MIN($E195:$E246)</f>
        <v>140.06</v>
      </c>
      <c r="M246">
        <f t="shared" si="30"/>
        <v>144.85</v>
      </c>
      <c r="N246">
        <f t="shared" si="30"/>
        <v>144.85</v>
      </c>
      <c r="O246">
        <f t="shared" si="31"/>
        <v>151.23000000000002</v>
      </c>
      <c r="P246">
        <f t="shared" si="32"/>
        <v>146.85000000000002</v>
      </c>
      <c r="Q246">
        <f t="shared" si="35"/>
        <v>150.25</v>
      </c>
    </row>
    <row r="247" spans="3:17" x14ac:dyDescent="0.25">
      <c r="C247" s="1">
        <v>42909</v>
      </c>
      <c r="D247">
        <v>147.16</v>
      </c>
      <c r="E247">
        <v>145.11000000000001</v>
      </c>
      <c r="F247">
        <v>146.35</v>
      </c>
      <c r="G247">
        <f t="shared" si="28"/>
        <v>147.5</v>
      </c>
      <c r="H247">
        <f t="shared" si="29"/>
        <v>142.19999999999999</v>
      </c>
      <c r="I247">
        <f t="shared" si="33"/>
        <v>155.97999999999999</v>
      </c>
      <c r="J247">
        <f t="shared" si="34"/>
        <v>142.19999999999999</v>
      </c>
      <c r="K247">
        <f t="shared" si="36"/>
        <v>156.65</v>
      </c>
      <c r="L247">
        <f t="shared" si="37"/>
        <v>140.06</v>
      </c>
      <c r="M247">
        <f t="shared" si="30"/>
        <v>144.85</v>
      </c>
      <c r="N247">
        <f t="shared" si="30"/>
        <v>144.85</v>
      </c>
      <c r="O247">
        <f t="shared" si="31"/>
        <v>151.70499999999998</v>
      </c>
      <c r="P247">
        <f t="shared" si="32"/>
        <v>146.85000000000002</v>
      </c>
      <c r="Q247">
        <f t="shared" si="35"/>
        <v>152.54</v>
      </c>
    </row>
    <row r="248" spans="3:17" x14ac:dyDescent="0.25">
      <c r="C248" s="1">
        <v>42912</v>
      </c>
      <c r="D248">
        <v>148.28</v>
      </c>
      <c r="E248">
        <v>145.38</v>
      </c>
      <c r="F248">
        <v>145.82</v>
      </c>
      <c r="G248">
        <f t="shared" si="28"/>
        <v>148.28</v>
      </c>
      <c r="H248">
        <f t="shared" si="29"/>
        <v>142.19999999999999</v>
      </c>
      <c r="I248">
        <f t="shared" si="33"/>
        <v>155.97999999999999</v>
      </c>
      <c r="J248">
        <f t="shared" si="34"/>
        <v>142.19999999999999</v>
      </c>
      <c r="K248">
        <f t="shared" si="36"/>
        <v>156.65</v>
      </c>
      <c r="L248">
        <f t="shared" si="37"/>
        <v>140.44999999999999</v>
      </c>
      <c r="M248">
        <f t="shared" si="30"/>
        <v>145.24</v>
      </c>
      <c r="N248">
        <f t="shared" si="30"/>
        <v>145.24</v>
      </c>
      <c r="O248">
        <f t="shared" si="31"/>
        <v>152.84</v>
      </c>
      <c r="P248">
        <f t="shared" si="32"/>
        <v>146.85000000000002</v>
      </c>
      <c r="Q248">
        <f t="shared" si="35"/>
        <v>152.96</v>
      </c>
    </row>
    <row r="249" spans="3:17" x14ac:dyDescent="0.25">
      <c r="C249" s="1">
        <v>42913</v>
      </c>
      <c r="D249">
        <v>146.16</v>
      </c>
      <c r="E249">
        <v>143.62</v>
      </c>
      <c r="F249">
        <v>143.74</v>
      </c>
      <c r="G249">
        <f t="shared" si="28"/>
        <v>148.28</v>
      </c>
      <c r="H249">
        <f t="shared" si="29"/>
        <v>142.19999999999999</v>
      </c>
      <c r="I249">
        <f t="shared" si="33"/>
        <v>155.97999999999999</v>
      </c>
      <c r="J249">
        <f t="shared" si="34"/>
        <v>142.19999999999999</v>
      </c>
      <c r="K249">
        <f t="shared" si="36"/>
        <v>156.65</v>
      </c>
      <c r="L249">
        <f t="shared" si="37"/>
        <v>140.44999999999999</v>
      </c>
      <c r="M249">
        <f t="shared" si="30"/>
        <v>145.24</v>
      </c>
      <c r="N249">
        <f t="shared" si="30"/>
        <v>145.24</v>
      </c>
      <c r="O249">
        <f t="shared" si="31"/>
        <v>153.18</v>
      </c>
      <c r="P249">
        <f t="shared" si="32"/>
        <v>146.85000000000002</v>
      </c>
      <c r="Q249">
        <f t="shared" si="35"/>
        <v>153.99</v>
      </c>
    </row>
    <row r="250" spans="3:17" x14ac:dyDescent="0.25">
      <c r="C250" s="1">
        <v>42914</v>
      </c>
      <c r="G250">
        <f t="shared" si="28"/>
        <v>148.28</v>
      </c>
      <c r="H250">
        <f t="shared" si="29"/>
        <v>142.19999999999999</v>
      </c>
      <c r="I250">
        <f t="shared" si="33"/>
        <v>155.97999999999999</v>
      </c>
      <c r="J250">
        <f t="shared" si="34"/>
        <v>142.19999999999999</v>
      </c>
      <c r="K250">
        <f t="shared" si="36"/>
        <v>156.65</v>
      </c>
      <c r="L250">
        <f t="shared" si="37"/>
        <v>140.44999999999999</v>
      </c>
      <c r="M250">
        <f t="shared" si="30"/>
        <v>145.24</v>
      </c>
      <c r="N250">
        <f t="shared" si="30"/>
        <v>145.24</v>
      </c>
      <c r="O250">
        <f t="shared" si="31"/>
        <v>153.18</v>
      </c>
      <c r="P250">
        <f t="shared" si="32"/>
        <v>146.85000000000002</v>
      </c>
      <c r="Q250">
        <f t="shared" si="35"/>
        <v>153.80000000000001</v>
      </c>
    </row>
    <row r="251" spans="3:17" x14ac:dyDescent="0.25">
      <c r="C251" s="1">
        <v>42915</v>
      </c>
      <c r="G251">
        <f t="shared" si="28"/>
        <v>148.28</v>
      </c>
      <c r="H251">
        <f t="shared" si="29"/>
        <v>143.62</v>
      </c>
      <c r="I251">
        <f t="shared" si="33"/>
        <v>155.97999999999999</v>
      </c>
      <c r="J251">
        <f t="shared" si="34"/>
        <v>142.19999999999999</v>
      </c>
      <c r="K251">
        <f t="shared" si="36"/>
        <v>156.65</v>
      </c>
      <c r="L251">
        <f t="shared" si="37"/>
        <v>140.44999999999999</v>
      </c>
      <c r="M251">
        <f t="shared" si="30"/>
        <v>145.94999999999999</v>
      </c>
      <c r="N251">
        <f t="shared" si="30"/>
        <v>145.94999999999999</v>
      </c>
      <c r="O251">
        <f t="shared" si="31"/>
        <v>153.18</v>
      </c>
      <c r="P251">
        <f t="shared" si="32"/>
        <v>147.63499999999999</v>
      </c>
      <c r="Q251">
        <f t="shared" si="35"/>
        <v>153.34</v>
      </c>
    </row>
    <row r="252" spans="3:17" x14ac:dyDescent="0.25">
      <c r="C252" s="1">
        <v>42916</v>
      </c>
      <c r="G252">
        <f t="shared" si="28"/>
        <v>148.28</v>
      </c>
      <c r="H252">
        <f t="shared" si="29"/>
        <v>143.62</v>
      </c>
      <c r="I252">
        <f t="shared" si="33"/>
        <v>155.97999999999999</v>
      </c>
      <c r="J252">
        <f t="shared" si="34"/>
        <v>142.19999999999999</v>
      </c>
      <c r="K252">
        <f t="shared" si="36"/>
        <v>156.65</v>
      </c>
      <c r="L252">
        <f t="shared" si="37"/>
        <v>140.44999999999999</v>
      </c>
      <c r="M252">
        <f t="shared" si="30"/>
        <v>145.94999999999999</v>
      </c>
      <c r="N252">
        <f t="shared" si="30"/>
        <v>145.94999999999999</v>
      </c>
      <c r="O252">
        <f t="shared" si="31"/>
        <v>153.18</v>
      </c>
      <c r="P252">
        <f t="shared" si="32"/>
        <v>147.63499999999999</v>
      </c>
      <c r="Q252">
        <f t="shared" si="35"/>
        <v>153.87</v>
      </c>
    </row>
    <row r="253" spans="3:17" x14ac:dyDescent="0.25">
      <c r="C253" s="1">
        <v>42917</v>
      </c>
      <c r="G253">
        <f t="shared" si="28"/>
        <v>148.28</v>
      </c>
      <c r="H253">
        <f t="shared" si="29"/>
        <v>143.62</v>
      </c>
      <c r="I253">
        <f t="shared" si="33"/>
        <v>155.97999999999999</v>
      </c>
      <c r="J253">
        <f t="shared" si="34"/>
        <v>142.19999999999999</v>
      </c>
      <c r="K253">
        <f t="shared" si="36"/>
        <v>156.65</v>
      </c>
      <c r="L253">
        <f t="shared" si="37"/>
        <v>141.16</v>
      </c>
      <c r="M253">
        <f t="shared" si="30"/>
        <v>145.94999999999999</v>
      </c>
      <c r="N253">
        <f t="shared" si="30"/>
        <v>145.94999999999999</v>
      </c>
      <c r="O253">
        <f t="shared" si="31"/>
        <v>153.18</v>
      </c>
      <c r="P253">
        <f t="shared" si="32"/>
        <v>147.63499999999999</v>
      </c>
      <c r="Q253">
        <f t="shared" si="35"/>
        <v>153.61000000000001</v>
      </c>
    </row>
    <row r="254" spans="3:17" x14ac:dyDescent="0.25">
      <c r="C254" s="1">
        <v>42918</v>
      </c>
      <c r="G254">
        <f t="shared" si="28"/>
        <v>148.28</v>
      </c>
      <c r="H254">
        <f t="shared" si="29"/>
        <v>143.62</v>
      </c>
      <c r="I254">
        <f t="shared" si="33"/>
        <v>155.97999999999999</v>
      </c>
      <c r="J254">
        <f t="shared" si="34"/>
        <v>142.19999999999999</v>
      </c>
      <c r="K254">
        <f t="shared" si="36"/>
        <v>156.65</v>
      </c>
      <c r="L254">
        <f t="shared" si="37"/>
        <v>141.85</v>
      </c>
      <c r="M254">
        <f t="shared" si="30"/>
        <v>145.94999999999999</v>
      </c>
      <c r="N254">
        <f t="shared" si="30"/>
        <v>145.94999999999999</v>
      </c>
      <c r="O254">
        <f t="shared" si="31"/>
        <v>152.88499999999999</v>
      </c>
      <c r="P254">
        <f t="shared" si="32"/>
        <v>147.63499999999999</v>
      </c>
      <c r="Q254">
        <f t="shared" si="35"/>
        <v>153.66999999999999</v>
      </c>
    </row>
    <row r="255" spans="3:17" x14ac:dyDescent="0.25">
      <c r="C255" s="1">
        <v>42919</v>
      </c>
      <c r="G255">
        <f t="shared" si="28"/>
        <v>148.28</v>
      </c>
      <c r="H255">
        <f t="shared" si="29"/>
        <v>143.62</v>
      </c>
      <c r="I255">
        <f t="shared" si="33"/>
        <v>155.97999999999999</v>
      </c>
      <c r="J255">
        <f t="shared" si="34"/>
        <v>142.19999999999999</v>
      </c>
      <c r="K255">
        <f t="shared" si="36"/>
        <v>156.65</v>
      </c>
      <c r="L255">
        <f t="shared" si="37"/>
        <v>142.19999999999999</v>
      </c>
      <c r="M255">
        <f t="shared" si="30"/>
        <v>145.94999999999999</v>
      </c>
      <c r="N255">
        <f t="shared" si="30"/>
        <v>145.94999999999999</v>
      </c>
      <c r="O255">
        <f t="shared" si="31"/>
        <v>152.30500000000001</v>
      </c>
      <c r="P255">
        <f t="shared" si="32"/>
        <v>147.63499999999999</v>
      </c>
      <c r="Q255">
        <f t="shared" si="35"/>
        <v>152.76</v>
      </c>
    </row>
    <row r="256" spans="3:17" x14ac:dyDescent="0.25">
      <c r="C256" s="1">
        <v>42920</v>
      </c>
      <c r="G256">
        <f t="shared" si="28"/>
        <v>148.28</v>
      </c>
      <c r="H256">
        <f t="shared" si="29"/>
        <v>143.62</v>
      </c>
      <c r="I256">
        <f t="shared" si="33"/>
        <v>155.97999999999999</v>
      </c>
      <c r="J256">
        <f t="shared" si="34"/>
        <v>142.19999999999999</v>
      </c>
      <c r="K256">
        <f t="shared" si="36"/>
        <v>156.65</v>
      </c>
      <c r="L256">
        <f t="shared" si="37"/>
        <v>142.19999999999999</v>
      </c>
      <c r="M256">
        <f t="shared" si="30"/>
        <v>145.94999999999999</v>
      </c>
      <c r="N256">
        <f t="shared" si="30"/>
        <v>145.94999999999999</v>
      </c>
      <c r="O256">
        <f t="shared" si="31"/>
        <v>153.01499999999999</v>
      </c>
      <c r="P256">
        <f t="shared" si="32"/>
        <v>147.63499999999999</v>
      </c>
      <c r="Q256">
        <f t="shared" si="35"/>
        <v>153.18</v>
      </c>
    </row>
    <row r="257" spans="3:17" x14ac:dyDescent="0.25">
      <c r="C257" s="1">
        <v>42921</v>
      </c>
      <c r="G257">
        <f t="shared" si="28"/>
        <v>146.16</v>
      </c>
      <c r="H257">
        <f t="shared" si="29"/>
        <v>143.62</v>
      </c>
      <c r="I257">
        <f t="shared" si="33"/>
        <v>155.97999999999999</v>
      </c>
      <c r="J257">
        <f t="shared" si="34"/>
        <v>142.19999999999999</v>
      </c>
      <c r="K257">
        <f t="shared" si="36"/>
        <v>156.65</v>
      </c>
      <c r="L257">
        <f t="shared" si="37"/>
        <v>142.19999999999999</v>
      </c>
      <c r="M257">
        <f t="shared" si="30"/>
        <v>144.88999999999999</v>
      </c>
      <c r="N257">
        <f t="shared" si="30"/>
        <v>144.88999999999999</v>
      </c>
      <c r="O257">
        <f t="shared" si="31"/>
        <v>153.56</v>
      </c>
      <c r="P257">
        <f t="shared" si="32"/>
        <v>147.63499999999999</v>
      </c>
      <c r="Q257">
        <f t="shared" si="35"/>
        <v>155.44999999999999</v>
      </c>
    </row>
    <row r="258" spans="3:17" x14ac:dyDescent="0.25">
      <c r="C258" s="1">
        <v>42922</v>
      </c>
      <c r="I258">
        <f t="shared" si="33"/>
        <v>155.97999999999999</v>
      </c>
      <c r="J258">
        <f t="shared" si="34"/>
        <v>142.19999999999999</v>
      </c>
      <c r="K258">
        <f t="shared" si="36"/>
        <v>156.65</v>
      </c>
      <c r="L258">
        <f t="shared" si="37"/>
        <v>142.19999999999999</v>
      </c>
      <c r="O258">
        <f t="shared" si="31"/>
        <v>153.83499999999998</v>
      </c>
      <c r="P258">
        <f t="shared" si="32"/>
        <v>147.63499999999999</v>
      </c>
      <c r="Q258">
        <f t="shared" si="35"/>
        <v>153.93</v>
      </c>
    </row>
    <row r="259" spans="3:17" x14ac:dyDescent="0.25">
      <c r="C259" s="1">
        <v>42923</v>
      </c>
      <c r="I259">
        <f t="shared" si="33"/>
        <v>155.97999999999999</v>
      </c>
      <c r="J259">
        <f t="shared" si="34"/>
        <v>142.19999999999999</v>
      </c>
      <c r="K259">
        <f t="shared" si="36"/>
        <v>156.65</v>
      </c>
      <c r="L259">
        <f t="shared" si="37"/>
        <v>142.19999999999999</v>
      </c>
      <c r="O259">
        <f t="shared" si="31"/>
        <v>153.83499999999998</v>
      </c>
      <c r="P259">
        <f t="shared" si="32"/>
        <v>147.63499999999999</v>
      </c>
      <c r="Q259">
        <f t="shared" si="35"/>
        <v>154.44999999999999</v>
      </c>
    </row>
    <row r="260" spans="3:17" x14ac:dyDescent="0.25">
      <c r="C260" s="1">
        <v>42924</v>
      </c>
      <c r="I260">
        <f t="shared" si="33"/>
        <v>155.97999999999999</v>
      </c>
      <c r="J260">
        <f t="shared" si="34"/>
        <v>142.19999999999999</v>
      </c>
      <c r="K260">
        <f t="shared" si="36"/>
        <v>156.65</v>
      </c>
      <c r="L260">
        <f t="shared" si="37"/>
        <v>142.19999999999999</v>
      </c>
      <c r="O260">
        <f t="shared" si="31"/>
        <v>154.01499999999999</v>
      </c>
      <c r="P260">
        <f t="shared" si="32"/>
        <v>147.63499999999999</v>
      </c>
      <c r="Q260">
        <f t="shared" si="35"/>
        <v>155.37</v>
      </c>
    </row>
    <row r="261" spans="3:17" x14ac:dyDescent="0.25">
      <c r="C261" s="1">
        <v>42925</v>
      </c>
      <c r="I261">
        <f t="shared" si="33"/>
        <v>155.54</v>
      </c>
      <c r="J261">
        <f t="shared" si="34"/>
        <v>142.19999999999999</v>
      </c>
      <c r="K261">
        <f t="shared" si="36"/>
        <v>156.65</v>
      </c>
      <c r="L261">
        <f t="shared" si="37"/>
        <v>142.19999999999999</v>
      </c>
      <c r="O261">
        <f t="shared" si="31"/>
        <v>154.1</v>
      </c>
      <c r="P261">
        <f t="shared" si="32"/>
        <v>147.63499999999999</v>
      </c>
      <c r="Q261">
        <f t="shared" si="35"/>
        <v>154.99</v>
      </c>
    </row>
    <row r="262" spans="3:17" x14ac:dyDescent="0.25">
      <c r="C262" s="1">
        <v>42926</v>
      </c>
      <c r="I262">
        <f t="shared" si="33"/>
        <v>155.19</v>
      </c>
      <c r="J262">
        <f t="shared" si="34"/>
        <v>142.19999999999999</v>
      </c>
      <c r="K262">
        <f t="shared" si="36"/>
        <v>156.65</v>
      </c>
      <c r="L262">
        <f t="shared" si="37"/>
        <v>142.19999999999999</v>
      </c>
      <c r="O262">
        <f t="shared" si="31"/>
        <v>154.1</v>
      </c>
      <c r="P262">
        <f t="shared" si="32"/>
        <v>147.63499999999999</v>
      </c>
      <c r="Q262">
        <f t="shared" si="35"/>
        <v>148.97999999999999</v>
      </c>
    </row>
    <row r="263" spans="3:17" x14ac:dyDescent="0.25">
      <c r="C263" s="1">
        <v>42927</v>
      </c>
      <c r="I263">
        <f t="shared" si="33"/>
        <v>148.28</v>
      </c>
      <c r="J263">
        <f t="shared" si="34"/>
        <v>142.19999999999999</v>
      </c>
      <c r="K263">
        <f t="shared" si="36"/>
        <v>156.65</v>
      </c>
      <c r="L263">
        <f t="shared" si="37"/>
        <v>142.19999999999999</v>
      </c>
      <c r="O263">
        <f t="shared" si="31"/>
        <v>151</v>
      </c>
      <c r="P263">
        <f t="shared" si="32"/>
        <v>148.35500000000002</v>
      </c>
      <c r="Q263">
        <f t="shared" si="35"/>
        <v>145.32</v>
      </c>
    </row>
    <row r="264" spans="3:17" x14ac:dyDescent="0.25">
      <c r="C264" s="1">
        <v>42928</v>
      </c>
      <c r="I264">
        <f t="shared" si="33"/>
        <v>148.28</v>
      </c>
      <c r="J264">
        <f t="shared" si="34"/>
        <v>142.19999999999999</v>
      </c>
      <c r="K264">
        <f t="shared" si="36"/>
        <v>156.65</v>
      </c>
      <c r="L264">
        <f t="shared" si="37"/>
        <v>142.19999999999999</v>
      </c>
      <c r="O264">
        <f t="shared" si="31"/>
        <v>149.245</v>
      </c>
      <c r="P264">
        <f t="shared" si="32"/>
        <v>148.35500000000002</v>
      </c>
      <c r="Q264">
        <f t="shared" si="35"/>
        <v>146.59</v>
      </c>
    </row>
    <row r="265" spans="3:17" x14ac:dyDescent="0.25">
      <c r="C265" s="1">
        <v>42929</v>
      </c>
      <c r="I265">
        <f t="shared" si="33"/>
        <v>148.28</v>
      </c>
      <c r="J265">
        <f t="shared" si="34"/>
        <v>142.19999999999999</v>
      </c>
      <c r="K265">
        <f t="shared" si="36"/>
        <v>156.65</v>
      </c>
      <c r="L265">
        <f t="shared" si="37"/>
        <v>142.19999999999999</v>
      </c>
      <c r="O265">
        <f t="shared" si="31"/>
        <v>149.245</v>
      </c>
      <c r="P265">
        <f t="shared" si="32"/>
        <v>148.35500000000002</v>
      </c>
      <c r="Q265">
        <f t="shared" si="35"/>
        <v>145.16</v>
      </c>
    </row>
    <row r="266" spans="3:17" x14ac:dyDescent="0.25">
      <c r="C266" s="1">
        <v>42930</v>
      </c>
      <c r="I266">
        <f t="shared" si="33"/>
        <v>148.28</v>
      </c>
      <c r="J266">
        <f t="shared" si="34"/>
        <v>142.19999999999999</v>
      </c>
      <c r="K266">
        <f t="shared" si="36"/>
        <v>156.65</v>
      </c>
      <c r="L266">
        <f t="shared" si="37"/>
        <v>142.19999999999999</v>
      </c>
      <c r="O266">
        <f t="shared" si="31"/>
        <v>149.245</v>
      </c>
      <c r="P266">
        <f t="shared" si="32"/>
        <v>148.35500000000002</v>
      </c>
      <c r="Q266">
        <f t="shared" si="35"/>
        <v>144.29</v>
      </c>
    </row>
    <row r="267" spans="3:17" x14ac:dyDescent="0.25">
      <c r="C267" s="1">
        <v>42931</v>
      </c>
      <c r="I267">
        <f t="shared" si="33"/>
        <v>148.28</v>
      </c>
      <c r="J267">
        <f t="shared" si="34"/>
        <v>142.19999999999999</v>
      </c>
      <c r="K267">
        <f t="shared" si="36"/>
        <v>156.65</v>
      </c>
      <c r="L267">
        <f t="shared" si="37"/>
        <v>142.19999999999999</v>
      </c>
      <c r="O267">
        <f t="shared" si="31"/>
        <v>149.095</v>
      </c>
      <c r="P267">
        <f t="shared" si="32"/>
        <v>148.35500000000002</v>
      </c>
      <c r="Q267">
        <f t="shared" si="35"/>
        <v>142.27000000000001</v>
      </c>
    </row>
    <row r="268" spans="3:17" x14ac:dyDescent="0.25">
      <c r="C268" s="1">
        <v>42932</v>
      </c>
      <c r="I268">
        <f t="shared" si="33"/>
        <v>148.28</v>
      </c>
      <c r="J268">
        <f t="shared" si="34"/>
        <v>143.62</v>
      </c>
      <c r="K268">
        <f t="shared" si="36"/>
        <v>156.65</v>
      </c>
      <c r="L268">
        <f t="shared" si="37"/>
        <v>142.19999999999999</v>
      </c>
      <c r="O268">
        <f t="shared" si="31"/>
        <v>149.08999999999997</v>
      </c>
      <c r="P268">
        <f t="shared" si="32"/>
        <v>148.35500000000002</v>
      </c>
      <c r="Q268">
        <f t="shared" si="35"/>
        <v>146.34</v>
      </c>
    </row>
    <row r="269" spans="3:17" x14ac:dyDescent="0.25">
      <c r="C269" s="1">
        <v>42933</v>
      </c>
      <c r="I269">
        <f t="shared" si="33"/>
        <v>148.28</v>
      </c>
      <c r="J269">
        <f t="shared" si="34"/>
        <v>143.62</v>
      </c>
      <c r="K269">
        <f t="shared" si="36"/>
        <v>156.65</v>
      </c>
      <c r="L269">
        <f t="shared" si="37"/>
        <v>142.19999999999999</v>
      </c>
      <c r="O269">
        <f t="shared" si="31"/>
        <v>149.08999999999997</v>
      </c>
      <c r="P269">
        <f t="shared" si="32"/>
        <v>148.35500000000002</v>
      </c>
      <c r="Q269">
        <f t="shared" si="35"/>
        <v>145.01</v>
      </c>
    </row>
    <row r="270" spans="3:17" x14ac:dyDescent="0.25">
      <c r="C270" s="1">
        <v>42934</v>
      </c>
      <c r="I270">
        <f t="shared" si="33"/>
        <v>148.28</v>
      </c>
      <c r="J270">
        <f t="shared" si="34"/>
        <v>143.62</v>
      </c>
      <c r="K270">
        <f t="shared" si="36"/>
        <v>156.65</v>
      </c>
      <c r="L270">
        <f t="shared" si="37"/>
        <v>142.19999999999999</v>
      </c>
      <c r="O270">
        <f t="shared" si="31"/>
        <v>148.87</v>
      </c>
      <c r="P270">
        <f t="shared" si="32"/>
        <v>148.35500000000002</v>
      </c>
      <c r="Q270">
        <f t="shared" si="35"/>
        <v>145.87</v>
      </c>
    </row>
    <row r="271" spans="3:17" x14ac:dyDescent="0.25">
      <c r="C271" s="1">
        <v>42935</v>
      </c>
      <c r="I271">
        <f t="shared" si="33"/>
        <v>148.28</v>
      </c>
      <c r="J271">
        <f t="shared" si="34"/>
        <v>143.62</v>
      </c>
      <c r="K271">
        <f t="shared" si="36"/>
        <v>156.06</v>
      </c>
      <c r="L271">
        <f t="shared" si="37"/>
        <v>142.19999999999999</v>
      </c>
      <c r="O271">
        <f t="shared" si="31"/>
        <v>148.69499999999999</v>
      </c>
      <c r="P271">
        <f t="shared" si="32"/>
        <v>148.35500000000002</v>
      </c>
      <c r="Q271">
        <f t="shared" si="35"/>
        <v>145.63</v>
      </c>
    </row>
    <row r="272" spans="3:17" x14ac:dyDescent="0.25">
      <c r="C272" s="1">
        <v>42936</v>
      </c>
      <c r="I272">
        <f t="shared" si="33"/>
        <v>148.28</v>
      </c>
      <c r="J272">
        <f t="shared" si="34"/>
        <v>143.62</v>
      </c>
      <c r="K272">
        <f t="shared" si="36"/>
        <v>155.97999999999999</v>
      </c>
      <c r="L272">
        <f t="shared" si="37"/>
        <v>142.19999999999999</v>
      </c>
      <c r="O272">
        <f t="shared" ref="O272:O274" si="38">($M246 + $N246)/2</f>
        <v>144.85</v>
      </c>
      <c r="P272">
        <f t="shared" ref="P272:P274" si="39">($K246 + $L246)/2</f>
        <v>148.35500000000002</v>
      </c>
      <c r="Q272">
        <f t="shared" si="35"/>
        <v>146.35</v>
      </c>
    </row>
    <row r="273" spans="3:17" x14ac:dyDescent="0.25">
      <c r="C273" s="1">
        <v>42937</v>
      </c>
      <c r="I273">
        <f t="shared" si="33"/>
        <v>148.28</v>
      </c>
      <c r="J273">
        <f t="shared" si="34"/>
        <v>143.62</v>
      </c>
      <c r="K273">
        <f t="shared" si="36"/>
        <v>155.97999999999999</v>
      </c>
      <c r="L273">
        <f t="shared" si="37"/>
        <v>142.19999999999999</v>
      </c>
      <c r="O273">
        <f t="shared" si="38"/>
        <v>144.85</v>
      </c>
      <c r="P273">
        <f t="shared" si="39"/>
        <v>148.35500000000002</v>
      </c>
      <c r="Q273">
        <f t="shared" si="35"/>
        <v>145.82</v>
      </c>
    </row>
    <row r="274" spans="3:17" x14ac:dyDescent="0.25">
      <c r="C274" s="1">
        <v>42938</v>
      </c>
      <c r="I274">
        <f t="shared" si="33"/>
        <v>146.16</v>
      </c>
      <c r="J274">
        <f t="shared" si="34"/>
        <v>143.62</v>
      </c>
      <c r="K274">
        <f t="shared" si="36"/>
        <v>155.97999999999999</v>
      </c>
      <c r="L274">
        <f t="shared" si="37"/>
        <v>142.19999999999999</v>
      </c>
      <c r="O274">
        <f t="shared" si="38"/>
        <v>145.24</v>
      </c>
      <c r="P274">
        <f t="shared" si="39"/>
        <v>148.55000000000001</v>
      </c>
      <c r="Q274">
        <f t="shared" si="35"/>
        <v>143.74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chimoku.Ichimoku">
                <anchor moveWithCells="1" sizeWithCells="1">
                  <from>
                    <xdr:col>0</xdr:col>
                    <xdr:colOff>76200</xdr:colOff>
                    <xdr:row>15</xdr:row>
                    <xdr:rowOff>0</xdr:rowOff>
                  </from>
                  <to>
                    <xdr:col>0</xdr:col>
                    <xdr:colOff>1057275</xdr:colOff>
                    <xdr:row>20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Ichimoku</vt:lpstr>
      <vt:lpstr>BackTerm</vt:lpstr>
      <vt:lpstr>DataLoad</vt:lpstr>
      <vt:lpstr>LongTerm</vt:lpstr>
      <vt:lpstr>MediumTerm</vt:lpstr>
      <vt:lpstr>ShortTerm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Williams</dc:creator>
  <cp:lastModifiedBy>Zach Williams</cp:lastModifiedBy>
  <dcterms:created xsi:type="dcterms:W3CDTF">2017-06-26T19:10:50Z</dcterms:created>
  <dcterms:modified xsi:type="dcterms:W3CDTF">2017-06-28T19:27:06Z</dcterms:modified>
</cp:coreProperties>
</file>