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zlwillia\Desktop\Investments\Technical Analysis Excel Tools\"/>
    </mc:Choice>
  </mc:AlternateContent>
  <bookViews>
    <workbookView xWindow="3720" yWindow="0" windowWidth="23070" windowHeight="9720"/>
  </bookViews>
  <sheets>
    <sheet name="MACD" sheetId="1" r:id="rId1"/>
  </sheets>
  <definedNames>
    <definedName name="AVG_MACD_Start">MACD!$H$2</definedName>
    <definedName name="DataLoad">MACD!$C$1</definedName>
    <definedName name="DataRange">OFFSET(MACD!$E$1,0,0,MACD!$A$5+1,2)</definedName>
    <definedName name="DATE">MACD!$C$1</definedName>
    <definedName name="DateRange">OFFSET(MACD!$C$1,0,0,MACD!$A$5+1,1)</definedName>
    <definedName name="LMA_Start">MACD!$E$2</definedName>
    <definedName name="LoadData">MACD!$C$1</definedName>
    <definedName name="LongTerm">MACD!$A$5</definedName>
    <definedName name="LongWindow">MACD!$A$5</definedName>
    <definedName name="MACD_Start">MACD!$G$2</definedName>
    <definedName name="ShortTerm">MACD!$A$8</definedName>
    <definedName name="SMA_Start">MACD!$F$2</definedName>
    <definedName name="Ticker">MACD!$A$2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" i="1" l="1"/>
  <c r="F52" i="1" s="1"/>
  <c r="E52" i="1"/>
  <c r="E51" i="1" s="1"/>
  <c r="E50" i="1" s="1"/>
  <c r="E49" i="1" s="1"/>
  <c r="E48" i="1" s="1"/>
  <c r="E47" i="1" s="1"/>
  <c r="E46" i="1" s="1"/>
  <c r="E45" i="1" s="1"/>
  <c r="E44" i="1" s="1"/>
  <c r="E43" i="1" s="1"/>
  <c r="E42" i="1" s="1"/>
  <c r="E41" i="1" s="1"/>
  <c r="E40" i="1" s="1"/>
  <c r="E39" i="1" s="1"/>
  <c r="E38" i="1" s="1"/>
  <c r="E37" i="1" s="1"/>
  <c r="E36" i="1" s="1"/>
  <c r="E35" i="1" s="1"/>
  <c r="E34" i="1" s="1"/>
  <c r="E33" i="1" s="1"/>
  <c r="E32" i="1" s="1"/>
  <c r="E31" i="1" s="1"/>
  <c r="E30" i="1" s="1"/>
  <c r="E29" i="1" s="1"/>
  <c r="E28" i="1" s="1"/>
  <c r="E27" i="1" s="1"/>
  <c r="E26" i="1" s="1"/>
  <c r="E25" i="1" s="1"/>
  <c r="E24" i="1" s="1"/>
  <c r="E23" i="1" s="1"/>
  <c r="E22" i="1" s="1"/>
  <c r="E21" i="1" s="1"/>
  <c r="E20" i="1" s="1"/>
  <c r="E19" i="1" s="1"/>
  <c r="E18" i="1" s="1"/>
  <c r="E17" i="1" s="1"/>
  <c r="E16" i="1" s="1"/>
  <c r="E15" i="1" s="1"/>
  <c r="E14" i="1" s="1"/>
  <c r="E13" i="1" s="1"/>
  <c r="E12" i="1" s="1"/>
  <c r="E11" i="1" s="1"/>
  <c r="E10" i="1" s="1"/>
  <c r="E9" i="1" s="1"/>
  <c r="E8" i="1" s="1"/>
  <c r="E7" i="1" s="1"/>
  <c r="E6" i="1" s="1"/>
  <c r="E5" i="1" s="1"/>
  <c r="E4" i="1" s="1"/>
  <c r="E3" i="1" s="1"/>
  <c r="E2" i="1" s="1"/>
  <c r="E53" i="1"/>
  <c r="C1" i="1"/>
  <c r="G52" i="1" l="1"/>
  <c r="F51" i="1"/>
  <c r="G53" i="1"/>
  <c r="F50" i="1" l="1"/>
  <c r="G51" i="1"/>
  <c r="F49" i="1" l="1"/>
  <c r="G50" i="1"/>
  <c r="F48" i="1" l="1"/>
  <c r="G49" i="1"/>
  <c r="F47" i="1" l="1"/>
  <c r="G48" i="1"/>
  <c r="F46" i="1" l="1"/>
  <c r="G47" i="1"/>
  <c r="F45" i="1" l="1"/>
  <c r="G46" i="1"/>
  <c r="F44" i="1" l="1"/>
  <c r="G45" i="1"/>
  <c r="F43" i="1" l="1"/>
  <c r="G44" i="1"/>
  <c r="F42" i="1" l="1"/>
  <c r="G43" i="1"/>
  <c r="F41" i="1" l="1"/>
  <c r="G42" i="1"/>
  <c r="F40" i="1" l="1"/>
  <c r="G41" i="1"/>
  <c r="H41" i="1" s="1"/>
  <c r="F39" i="1" l="1"/>
  <c r="G40" i="1"/>
  <c r="H40" i="1" s="1"/>
  <c r="F38" i="1" l="1"/>
  <c r="G39" i="1"/>
  <c r="H39" i="1" s="1"/>
  <c r="F37" i="1" l="1"/>
  <c r="G38" i="1"/>
  <c r="H38" i="1" s="1"/>
  <c r="F36" i="1" l="1"/>
  <c r="G37" i="1"/>
  <c r="H37" i="1" s="1"/>
  <c r="F35" i="1" l="1"/>
  <c r="G36" i="1"/>
  <c r="H36" i="1" s="1"/>
  <c r="F34" i="1" l="1"/>
  <c r="G35" i="1"/>
  <c r="H35" i="1" s="1"/>
  <c r="F33" i="1" l="1"/>
  <c r="G34" i="1"/>
  <c r="H34" i="1" s="1"/>
  <c r="F32" i="1" l="1"/>
  <c r="G33" i="1"/>
  <c r="H33" i="1" s="1"/>
  <c r="F31" i="1" l="1"/>
  <c r="G32" i="1"/>
  <c r="H32" i="1" s="1"/>
  <c r="F30" i="1" l="1"/>
  <c r="G31" i="1"/>
  <c r="H31" i="1" s="1"/>
  <c r="F29" i="1" l="1"/>
  <c r="G30" i="1"/>
  <c r="H30" i="1" s="1"/>
  <c r="F28" i="1" l="1"/>
  <c r="G29" i="1"/>
  <c r="H29" i="1" s="1"/>
  <c r="F27" i="1" l="1"/>
  <c r="G28" i="1"/>
  <c r="H28" i="1" s="1"/>
  <c r="F26" i="1" l="1"/>
  <c r="G27" i="1"/>
  <c r="H27" i="1" s="1"/>
  <c r="F25" i="1" l="1"/>
  <c r="G26" i="1"/>
  <c r="H26" i="1" s="1"/>
  <c r="F24" i="1" l="1"/>
  <c r="G25" i="1"/>
  <c r="H25" i="1" s="1"/>
  <c r="F23" i="1" l="1"/>
  <c r="G24" i="1"/>
  <c r="H24" i="1" s="1"/>
  <c r="F22" i="1" l="1"/>
  <c r="G23" i="1"/>
  <c r="H23" i="1" s="1"/>
  <c r="F21" i="1" l="1"/>
  <c r="G22" i="1"/>
  <c r="H22" i="1" s="1"/>
  <c r="F20" i="1" l="1"/>
  <c r="G21" i="1"/>
  <c r="H21" i="1" s="1"/>
  <c r="F19" i="1" l="1"/>
  <c r="G20" i="1"/>
  <c r="H20" i="1" s="1"/>
  <c r="F18" i="1" l="1"/>
  <c r="G19" i="1"/>
  <c r="H19" i="1" s="1"/>
  <c r="F17" i="1" l="1"/>
  <c r="G18" i="1"/>
  <c r="H18" i="1" s="1"/>
  <c r="F16" i="1" l="1"/>
  <c r="G17" i="1"/>
  <c r="H17" i="1" s="1"/>
  <c r="F15" i="1" l="1"/>
  <c r="G16" i="1"/>
  <c r="H16" i="1" s="1"/>
  <c r="F14" i="1" l="1"/>
  <c r="G15" i="1"/>
  <c r="H15" i="1" s="1"/>
  <c r="F13" i="1" l="1"/>
  <c r="G14" i="1"/>
  <c r="H14" i="1" s="1"/>
  <c r="F12" i="1" l="1"/>
  <c r="G13" i="1"/>
  <c r="H13" i="1" s="1"/>
  <c r="F11" i="1" l="1"/>
  <c r="G12" i="1"/>
  <c r="H12" i="1" s="1"/>
  <c r="F10" i="1" l="1"/>
  <c r="G11" i="1"/>
  <c r="H11" i="1" s="1"/>
  <c r="F9" i="1" l="1"/>
  <c r="G10" i="1"/>
  <c r="H10" i="1" s="1"/>
  <c r="F8" i="1" l="1"/>
  <c r="G9" i="1"/>
  <c r="H9" i="1" s="1"/>
  <c r="F7" i="1" l="1"/>
  <c r="G8" i="1"/>
  <c r="H8" i="1" s="1"/>
  <c r="F6" i="1" l="1"/>
  <c r="G7" i="1"/>
  <c r="H7" i="1" s="1"/>
  <c r="F5" i="1" l="1"/>
  <c r="G6" i="1"/>
  <c r="H6" i="1" s="1"/>
  <c r="F4" i="1" l="1"/>
  <c r="G5" i="1"/>
  <c r="H5" i="1" s="1"/>
  <c r="F3" i="1" l="1"/>
  <c r="G4" i="1"/>
  <c r="H4" i="1" s="1"/>
  <c r="F2" i="1" l="1"/>
  <c r="G2" i="1" s="1"/>
  <c r="H2" i="1" s="1"/>
  <c r="G3" i="1"/>
  <c r="H3" i="1" s="1"/>
</calcChain>
</file>

<file path=xl/sharedStrings.xml><?xml version="1.0" encoding="utf-8"?>
<sst xmlns="http://schemas.openxmlformats.org/spreadsheetml/2006/main" count="9" uniqueCount="9">
  <si>
    <t>MACD</t>
  </si>
  <si>
    <t>SEMA</t>
  </si>
  <si>
    <t>FEMA</t>
  </si>
  <si>
    <t>Slow window (days)?</t>
  </si>
  <si>
    <t>Fast window (days)?</t>
  </si>
  <si>
    <t>US Stock symbol?</t>
  </si>
  <si>
    <t>Avg MACD</t>
  </si>
  <si>
    <t>MCD</t>
  </si>
  <si>
    <t>WIKI/MCD/CLOSE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</si>
</sst>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4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Slow Moving Avg vs Fast Moving Avg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SEMA</c:v>
          </c:tx>
          <c:spPr>
            <a:ln w="349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MACD!$C$2:$C$27</c:f>
              <c:numCache>
                <c:formatCode>m/d/yyyy</c:formatCode>
                <c:ptCount val="26"/>
                <c:pt idx="0">
                  <c:v>42909</c:v>
                </c:pt>
                <c:pt idx="1">
                  <c:v>42908</c:v>
                </c:pt>
                <c:pt idx="2">
                  <c:v>42907</c:v>
                </c:pt>
                <c:pt idx="3">
                  <c:v>42906</c:v>
                </c:pt>
                <c:pt idx="4">
                  <c:v>42905</c:v>
                </c:pt>
                <c:pt idx="5">
                  <c:v>42902</c:v>
                </c:pt>
                <c:pt idx="6">
                  <c:v>42901</c:v>
                </c:pt>
                <c:pt idx="7">
                  <c:v>42900</c:v>
                </c:pt>
                <c:pt idx="8">
                  <c:v>42899</c:v>
                </c:pt>
                <c:pt idx="9">
                  <c:v>42898</c:v>
                </c:pt>
                <c:pt idx="10">
                  <c:v>42895</c:v>
                </c:pt>
                <c:pt idx="11">
                  <c:v>42894</c:v>
                </c:pt>
                <c:pt idx="12">
                  <c:v>42893</c:v>
                </c:pt>
                <c:pt idx="13">
                  <c:v>42892</c:v>
                </c:pt>
                <c:pt idx="14">
                  <c:v>42891</c:v>
                </c:pt>
                <c:pt idx="15">
                  <c:v>42888</c:v>
                </c:pt>
                <c:pt idx="16">
                  <c:v>42887</c:v>
                </c:pt>
                <c:pt idx="17">
                  <c:v>42886</c:v>
                </c:pt>
                <c:pt idx="18">
                  <c:v>42885</c:v>
                </c:pt>
                <c:pt idx="19">
                  <c:v>42881</c:v>
                </c:pt>
                <c:pt idx="20">
                  <c:v>42880</c:v>
                </c:pt>
                <c:pt idx="21">
                  <c:v>42879</c:v>
                </c:pt>
                <c:pt idx="22">
                  <c:v>42878</c:v>
                </c:pt>
                <c:pt idx="23">
                  <c:v>42877</c:v>
                </c:pt>
                <c:pt idx="24">
                  <c:v>42874</c:v>
                </c:pt>
                <c:pt idx="25">
                  <c:v>42873</c:v>
                </c:pt>
              </c:numCache>
            </c:numRef>
          </c:cat>
          <c:val>
            <c:numRef>
              <c:f>MACD!$E$2:$E$27</c:f>
              <c:numCache>
                <c:formatCode>General</c:formatCode>
                <c:ptCount val="26"/>
                <c:pt idx="0">
                  <c:v>150.49678805032437</c:v>
                </c:pt>
                <c:pt idx="1">
                  <c:v>150.16533109435031</c:v>
                </c:pt>
                <c:pt idx="2">
                  <c:v>149.79455758189832</c:v>
                </c:pt>
                <c:pt idx="3">
                  <c:v>149.47972218845018</c:v>
                </c:pt>
                <c:pt idx="4">
                  <c:v>149.11249996352618</c:v>
                </c:pt>
                <c:pt idx="5">
                  <c:v>148.79029996060825</c:v>
                </c:pt>
                <c:pt idx="6">
                  <c:v>148.53432395745691</c:v>
                </c:pt>
                <c:pt idx="7">
                  <c:v>148.32346987405344</c:v>
                </c:pt>
                <c:pt idx="8">
                  <c:v>148.13494746397774</c:v>
                </c:pt>
                <c:pt idx="9">
                  <c:v>148.00014326109596</c:v>
                </c:pt>
                <c:pt idx="10">
                  <c:v>147.96255472198365</c:v>
                </c:pt>
                <c:pt idx="11">
                  <c:v>147.68115909974233</c:v>
                </c:pt>
                <c:pt idx="12">
                  <c:v>147.38125182772171</c:v>
                </c:pt>
                <c:pt idx="13">
                  <c:v>147.01655197393947</c:v>
                </c:pt>
                <c:pt idx="14">
                  <c:v>146.67947613185464</c:v>
                </c:pt>
                <c:pt idx="15">
                  <c:v>146.19063422240302</c:v>
                </c:pt>
                <c:pt idx="16">
                  <c:v>145.58668496019524</c:v>
                </c:pt>
                <c:pt idx="17">
                  <c:v>145.04241975701086</c:v>
                </c:pt>
                <c:pt idx="18">
                  <c:v>144.57461333757175</c:v>
                </c:pt>
                <c:pt idx="19">
                  <c:v>144.14618240457747</c:v>
                </c:pt>
                <c:pt idx="20">
                  <c:v>143.68907699694367</c:v>
                </c:pt>
                <c:pt idx="21">
                  <c:v>143.20180315669916</c:v>
                </c:pt>
                <c:pt idx="22">
                  <c:v>142.6979474092351</c:v>
                </c:pt>
                <c:pt idx="23">
                  <c:v>142.28818320197391</c:v>
                </c:pt>
                <c:pt idx="24">
                  <c:v>141.81603785813184</c:v>
                </c:pt>
                <c:pt idx="25">
                  <c:v>141.30932088678239</c:v>
                </c:pt>
              </c:numCache>
            </c:numRef>
          </c:val>
          <c:smooth val="0"/>
        </c:ser>
        <c:ser>
          <c:idx val="1"/>
          <c:order val="1"/>
          <c:tx>
            <c:v>FEMA</c:v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MACD!$C$2:$C$27</c:f>
              <c:numCache>
                <c:formatCode>m/d/yyyy</c:formatCode>
                <c:ptCount val="26"/>
                <c:pt idx="0">
                  <c:v>42909</c:v>
                </c:pt>
                <c:pt idx="1">
                  <c:v>42908</c:v>
                </c:pt>
                <c:pt idx="2">
                  <c:v>42907</c:v>
                </c:pt>
                <c:pt idx="3">
                  <c:v>42906</c:v>
                </c:pt>
                <c:pt idx="4">
                  <c:v>42905</c:v>
                </c:pt>
                <c:pt idx="5">
                  <c:v>42902</c:v>
                </c:pt>
                <c:pt idx="6">
                  <c:v>42901</c:v>
                </c:pt>
                <c:pt idx="7">
                  <c:v>42900</c:v>
                </c:pt>
                <c:pt idx="8">
                  <c:v>42899</c:v>
                </c:pt>
                <c:pt idx="9">
                  <c:v>42898</c:v>
                </c:pt>
                <c:pt idx="10">
                  <c:v>42895</c:v>
                </c:pt>
                <c:pt idx="11">
                  <c:v>42894</c:v>
                </c:pt>
                <c:pt idx="12">
                  <c:v>42893</c:v>
                </c:pt>
                <c:pt idx="13">
                  <c:v>42892</c:v>
                </c:pt>
                <c:pt idx="14">
                  <c:v>42891</c:v>
                </c:pt>
                <c:pt idx="15">
                  <c:v>42888</c:v>
                </c:pt>
                <c:pt idx="16">
                  <c:v>42887</c:v>
                </c:pt>
                <c:pt idx="17">
                  <c:v>42886</c:v>
                </c:pt>
                <c:pt idx="18">
                  <c:v>42885</c:v>
                </c:pt>
                <c:pt idx="19">
                  <c:v>42881</c:v>
                </c:pt>
                <c:pt idx="20">
                  <c:v>42880</c:v>
                </c:pt>
                <c:pt idx="21">
                  <c:v>42879</c:v>
                </c:pt>
                <c:pt idx="22">
                  <c:v>42878</c:v>
                </c:pt>
                <c:pt idx="23">
                  <c:v>42877</c:v>
                </c:pt>
                <c:pt idx="24">
                  <c:v>42874</c:v>
                </c:pt>
                <c:pt idx="25">
                  <c:v>42873</c:v>
                </c:pt>
              </c:numCache>
            </c:numRef>
          </c:cat>
          <c:val>
            <c:numRef>
              <c:f>MACD!$F$2:$F$27</c:f>
              <c:numCache>
                <c:formatCode>General</c:formatCode>
                <c:ptCount val="26"/>
                <c:pt idx="0">
                  <c:v>152.70282499314419</c:v>
                </c:pt>
                <c:pt idx="1">
                  <c:v>152.35061135553406</c:v>
                </c:pt>
                <c:pt idx="2">
                  <c:v>151.90526796563114</c:v>
                </c:pt>
                <c:pt idx="3">
                  <c:v>151.57349850483683</c:v>
                </c:pt>
                <c:pt idx="4">
                  <c:v>151.11958914207989</c:v>
                </c:pt>
                <c:pt idx="5">
                  <c:v>150.75224171336714</c:v>
                </c:pt>
                <c:pt idx="6">
                  <c:v>150.52719475216117</c:v>
                </c:pt>
                <c:pt idx="7">
                  <c:v>150.4103210707359</c:v>
                </c:pt>
                <c:pt idx="8">
                  <c:v>150.36128853814245</c:v>
                </c:pt>
                <c:pt idx="9">
                  <c:v>150.45970463598653</c:v>
                </c:pt>
                <c:pt idx="10">
                  <c:v>150.8214691152568</c:v>
                </c:pt>
                <c:pt idx="11">
                  <c:v>150.70173622712167</c:v>
                </c:pt>
                <c:pt idx="12">
                  <c:v>150.56932463205288</c:v>
                </c:pt>
                <c:pt idx="13">
                  <c:v>150.32011092878977</c:v>
                </c:pt>
                <c:pt idx="14">
                  <c:v>150.1546765522061</c:v>
                </c:pt>
                <c:pt idx="15">
                  <c:v>149.6755268344254</c:v>
                </c:pt>
                <c:pt idx="16">
                  <c:v>148.93653171341182</c:v>
                </c:pt>
                <c:pt idx="17">
                  <c:v>148.3086283885776</c:v>
                </c:pt>
                <c:pt idx="18">
                  <c:v>147.83928809559171</c:v>
                </c:pt>
                <c:pt idx="19">
                  <c:v>147.45915865842656</c:v>
                </c:pt>
                <c:pt idx="20">
                  <c:v>147.02264205086774</c:v>
                </c:pt>
                <c:pt idx="21">
                  <c:v>146.52130424193462</c:v>
                </c:pt>
                <c:pt idx="22">
                  <c:v>145.97972319501363</c:v>
                </c:pt>
                <c:pt idx="23">
                  <c:v>145.64512741228884</c:v>
                </c:pt>
                <c:pt idx="24">
                  <c:v>145.18242330543225</c:v>
                </c:pt>
                <c:pt idx="25">
                  <c:v>144.64286390641993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MACD!$F$1</c:f>
              <c:strCache>
                <c:ptCount val="1"/>
                <c:pt idx="0">
                  <c:v>FEMA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MACD!$C$2:$C$28</c:f>
              <c:numCache>
                <c:formatCode>m/d/yyyy</c:formatCode>
                <c:ptCount val="27"/>
                <c:pt idx="0">
                  <c:v>42909</c:v>
                </c:pt>
                <c:pt idx="1">
                  <c:v>42908</c:v>
                </c:pt>
                <c:pt idx="2">
                  <c:v>42907</c:v>
                </c:pt>
                <c:pt idx="3">
                  <c:v>42906</c:v>
                </c:pt>
                <c:pt idx="4">
                  <c:v>42905</c:v>
                </c:pt>
                <c:pt idx="5">
                  <c:v>42902</c:v>
                </c:pt>
                <c:pt idx="6">
                  <c:v>42901</c:v>
                </c:pt>
                <c:pt idx="7">
                  <c:v>42900</c:v>
                </c:pt>
                <c:pt idx="8">
                  <c:v>42899</c:v>
                </c:pt>
                <c:pt idx="9">
                  <c:v>42898</c:v>
                </c:pt>
                <c:pt idx="10">
                  <c:v>42895</c:v>
                </c:pt>
                <c:pt idx="11">
                  <c:v>42894</c:v>
                </c:pt>
                <c:pt idx="12">
                  <c:v>42893</c:v>
                </c:pt>
                <c:pt idx="13">
                  <c:v>42892</c:v>
                </c:pt>
                <c:pt idx="14">
                  <c:v>42891</c:v>
                </c:pt>
                <c:pt idx="15">
                  <c:v>42888</c:v>
                </c:pt>
                <c:pt idx="16">
                  <c:v>42887</c:v>
                </c:pt>
                <c:pt idx="17">
                  <c:v>42886</c:v>
                </c:pt>
                <c:pt idx="18">
                  <c:v>42885</c:v>
                </c:pt>
                <c:pt idx="19">
                  <c:v>42881</c:v>
                </c:pt>
                <c:pt idx="20">
                  <c:v>42880</c:v>
                </c:pt>
                <c:pt idx="21">
                  <c:v>42879</c:v>
                </c:pt>
                <c:pt idx="22">
                  <c:v>42878</c:v>
                </c:pt>
                <c:pt idx="23">
                  <c:v>42877</c:v>
                </c:pt>
                <c:pt idx="24">
                  <c:v>42874</c:v>
                </c:pt>
                <c:pt idx="25">
                  <c:v>42873</c:v>
                </c:pt>
                <c:pt idx="26">
                  <c:v>42872</c:v>
                </c:pt>
              </c:numCache>
            </c:numRef>
          </c:cat>
          <c:val>
            <c:numRef>
              <c:f>MACD!$F$2:$F$37</c:f>
              <c:numCache>
                <c:formatCode>General</c:formatCode>
                <c:ptCount val="36"/>
                <c:pt idx="0">
                  <c:v>152.70282499314419</c:v>
                </c:pt>
                <c:pt idx="1">
                  <c:v>152.35061135553406</c:v>
                </c:pt>
                <c:pt idx="2">
                  <c:v>151.90526796563114</c:v>
                </c:pt>
                <c:pt idx="3">
                  <c:v>151.57349850483683</c:v>
                </c:pt>
                <c:pt idx="4">
                  <c:v>151.11958914207989</c:v>
                </c:pt>
                <c:pt idx="5">
                  <c:v>150.75224171336714</c:v>
                </c:pt>
                <c:pt idx="6">
                  <c:v>150.52719475216117</c:v>
                </c:pt>
                <c:pt idx="7">
                  <c:v>150.4103210707359</c:v>
                </c:pt>
                <c:pt idx="8">
                  <c:v>150.36128853814245</c:v>
                </c:pt>
                <c:pt idx="9">
                  <c:v>150.45970463598653</c:v>
                </c:pt>
                <c:pt idx="10">
                  <c:v>150.8214691152568</c:v>
                </c:pt>
                <c:pt idx="11">
                  <c:v>150.70173622712167</c:v>
                </c:pt>
                <c:pt idx="12">
                  <c:v>150.56932463205288</c:v>
                </c:pt>
                <c:pt idx="13">
                  <c:v>150.32011092878977</c:v>
                </c:pt>
                <c:pt idx="14">
                  <c:v>150.1546765522061</c:v>
                </c:pt>
                <c:pt idx="15">
                  <c:v>149.6755268344254</c:v>
                </c:pt>
                <c:pt idx="16">
                  <c:v>148.93653171341182</c:v>
                </c:pt>
                <c:pt idx="17">
                  <c:v>148.3086283885776</c:v>
                </c:pt>
                <c:pt idx="18">
                  <c:v>147.83928809559171</c:v>
                </c:pt>
                <c:pt idx="19">
                  <c:v>147.45915865842656</c:v>
                </c:pt>
                <c:pt idx="20">
                  <c:v>147.02264205086774</c:v>
                </c:pt>
                <c:pt idx="21">
                  <c:v>146.52130424193462</c:v>
                </c:pt>
                <c:pt idx="22">
                  <c:v>145.97972319501363</c:v>
                </c:pt>
                <c:pt idx="23">
                  <c:v>145.64512741228884</c:v>
                </c:pt>
                <c:pt idx="24">
                  <c:v>145.18242330543225</c:v>
                </c:pt>
                <c:pt idx="25">
                  <c:v>144.64286390641993</c:v>
                </c:pt>
                <c:pt idx="26">
                  <c:v>144.21247552576901</c:v>
                </c:pt>
                <c:pt idx="27">
                  <c:v>143.81292562136338</c:v>
                </c:pt>
                <c:pt idx="28">
                  <c:v>143.18073027979307</c:v>
                </c:pt>
                <c:pt idx="29">
                  <c:v>142.61722669430091</c:v>
                </c:pt>
                <c:pt idx="30">
                  <c:v>142.11854063871925</c:v>
                </c:pt>
                <c:pt idx="31">
                  <c:v>141.73827530030457</c:v>
                </c:pt>
                <c:pt idx="32">
                  <c:v>141.23250717308721</c:v>
                </c:pt>
                <c:pt idx="33">
                  <c:v>140.66387211364852</c:v>
                </c:pt>
                <c:pt idx="34">
                  <c:v>140.01366704340279</c:v>
                </c:pt>
                <c:pt idx="35">
                  <c:v>139.29615196038512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1650048"/>
        <c:axId val="381649656"/>
      </c:lineChart>
      <c:dateAx>
        <c:axId val="381650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649656"/>
        <c:crosses val="autoZero"/>
        <c:auto val="0"/>
        <c:lblOffset val="100"/>
        <c:baseTimeUnit val="days"/>
      </c:dateAx>
      <c:valAx>
        <c:axId val="381649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Closing Price  Moving Avg ($)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650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MACD vs Avg MACD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MACD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MACD!$C$2:$C$27</c:f>
              <c:numCache>
                <c:formatCode>m/d/yyyy</c:formatCode>
                <c:ptCount val="26"/>
                <c:pt idx="0">
                  <c:v>42909</c:v>
                </c:pt>
                <c:pt idx="1">
                  <c:v>42908</c:v>
                </c:pt>
                <c:pt idx="2">
                  <c:v>42907</c:v>
                </c:pt>
                <c:pt idx="3">
                  <c:v>42906</c:v>
                </c:pt>
                <c:pt idx="4">
                  <c:v>42905</c:v>
                </c:pt>
                <c:pt idx="5">
                  <c:v>42902</c:v>
                </c:pt>
                <c:pt idx="6">
                  <c:v>42901</c:v>
                </c:pt>
                <c:pt idx="7">
                  <c:v>42900</c:v>
                </c:pt>
                <c:pt idx="8">
                  <c:v>42899</c:v>
                </c:pt>
                <c:pt idx="9">
                  <c:v>42898</c:v>
                </c:pt>
                <c:pt idx="10">
                  <c:v>42895</c:v>
                </c:pt>
                <c:pt idx="11">
                  <c:v>42894</c:v>
                </c:pt>
                <c:pt idx="12">
                  <c:v>42893</c:v>
                </c:pt>
                <c:pt idx="13">
                  <c:v>42892</c:v>
                </c:pt>
                <c:pt idx="14">
                  <c:v>42891</c:v>
                </c:pt>
                <c:pt idx="15">
                  <c:v>42888</c:v>
                </c:pt>
                <c:pt idx="16">
                  <c:v>42887</c:v>
                </c:pt>
                <c:pt idx="17">
                  <c:v>42886</c:v>
                </c:pt>
                <c:pt idx="18">
                  <c:v>42885</c:v>
                </c:pt>
                <c:pt idx="19">
                  <c:v>42881</c:v>
                </c:pt>
                <c:pt idx="20">
                  <c:v>42880</c:v>
                </c:pt>
                <c:pt idx="21">
                  <c:v>42879</c:v>
                </c:pt>
                <c:pt idx="22">
                  <c:v>42878</c:v>
                </c:pt>
                <c:pt idx="23">
                  <c:v>42877</c:v>
                </c:pt>
                <c:pt idx="24">
                  <c:v>42874</c:v>
                </c:pt>
                <c:pt idx="25">
                  <c:v>42873</c:v>
                </c:pt>
              </c:numCache>
            </c:numRef>
          </c:cat>
          <c:val>
            <c:numRef>
              <c:f>MACD!$G$2:$G$27</c:f>
              <c:numCache>
                <c:formatCode>General</c:formatCode>
                <c:ptCount val="26"/>
                <c:pt idx="0">
                  <c:v>2.2060369428198214</c:v>
                </c:pt>
                <c:pt idx="1">
                  <c:v>2.185280261183749</c:v>
                </c:pt>
                <c:pt idx="2">
                  <c:v>2.1107103837328225</c:v>
                </c:pt>
                <c:pt idx="3">
                  <c:v>2.0937763163866521</c:v>
                </c:pt>
                <c:pt idx="4">
                  <c:v>2.0070891785537128</c:v>
                </c:pt>
                <c:pt idx="5">
                  <c:v>1.9619417527588894</c:v>
                </c:pt>
                <c:pt idx="6">
                  <c:v>1.9928707947042597</c:v>
                </c:pt>
                <c:pt idx="7">
                  <c:v>2.0868511966824599</c:v>
                </c:pt>
                <c:pt idx="8">
                  <c:v>2.2263410741647078</c:v>
                </c:pt>
                <c:pt idx="9">
                  <c:v>2.4595613748905691</c:v>
                </c:pt>
                <c:pt idx="10">
                  <c:v>2.8589143932731531</c:v>
                </c:pt>
                <c:pt idx="11">
                  <c:v>3.0205771273793403</c:v>
                </c:pt>
                <c:pt idx="12">
                  <c:v>3.1880728043311706</c:v>
                </c:pt>
                <c:pt idx="13">
                  <c:v>3.3035589548503026</c:v>
                </c:pt>
                <c:pt idx="14">
                  <c:v>3.4752004203514559</c:v>
                </c:pt>
                <c:pt idx="15">
                  <c:v>3.484892612022378</c:v>
                </c:pt>
                <c:pt idx="16">
                  <c:v>3.3498467532165819</c:v>
                </c:pt>
                <c:pt idx="17">
                  <c:v>3.2662086315667409</c:v>
                </c:pt>
                <c:pt idx="18">
                  <c:v>3.2646747580199644</c:v>
                </c:pt>
                <c:pt idx="19">
                  <c:v>3.3129762538490866</c:v>
                </c:pt>
                <c:pt idx="20">
                  <c:v>3.333565053924076</c:v>
                </c:pt>
                <c:pt idx="21">
                  <c:v>3.3195010852354585</c:v>
                </c:pt>
                <c:pt idx="22">
                  <c:v>3.2817757857785352</c:v>
                </c:pt>
                <c:pt idx="23">
                  <c:v>3.3569442103149356</c:v>
                </c:pt>
                <c:pt idx="24">
                  <c:v>3.3663854473004164</c:v>
                </c:pt>
                <c:pt idx="25">
                  <c:v>3.3335430196375455</c:v>
                </c:pt>
              </c:numCache>
            </c:numRef>
          </c:val>
          <c:smooth val="0"/>
        </c:ser>
        <c:ser>
          <c:idx val="1"/>
          <c:order val="1"/>
          <c:tx>
            <c:v>Avg MACD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MACD!$C$2:$C$27</c:f>
              <c:numCache>
                <c:formatCode>m/d/yyyy</c:formatCode>
                <c:ptCount val="26"/>
                <c:pt idx="0">
                  <c:v>42909</c:v>
                </c:pt>
                <c:pt idx="1">
                  <c:v>42908</c:v>
                </c:pt>
                <c:pt idx="2">
                  <c:v>42907</c:v>
                </c:pt>
                <c:pt idx="3">
                  <c:v>42906</c:v>
                </c:pt>
                <c:pt idx="4">
                  <c:v>42905</c:v>
                </c:pt>
                <c:pt idx="5">
                  <c:v>42902</c:v>
                </c:pt>
                <c:pt idx="6">
                  <c:v>42901</c:v>
                </c:pt>
                <c:pt idx="7">
                  <c:v>42900</c:v>
                </c:pt>
                <c:pt idx="8">
                  <c:v>42899</c:v>
                </c:pt>
                <c:pt idx="9">
                  <c:v>42898</c:v>
                </c:pt>
                <c:pt idx="10">
                  <c:v>42895</c:v>
                </c:pt>
                <c:pt idx="11">
                  <c:v>42894</c:v>
                </c:pt>
                <c:pt idx="12">
                  <c:v>42893</c:v>
                </c:pt>
                <c:pt idx="13">
                  <c:v>42892</c:v>
                </c:pt>
                <c:pt idx="14">
                  <c:v>42891</c:v>
                </c:pt>
                <c:pt idx="15">
                  <c:v>42888</c:v>
                </c:pt>
                <c:pt idx="16">
                  <c:v>42887</c:v>
                </c:pt>
                <c:pt idx="17">
                  <c:v>42886</c:v>
                </c:pt>
                <c:pt idx="18">
                  <c:v>42885</c:v>
                </c:pt>
                <c:pt idx="19">
                  <c:v>42881</c:v>
                </c:pt>
                <c:pt idx="20">
                  <c:v>42880</c:v>
                </c:pt>
                <c:pt idx="21">
                  <c:v>42879</c:v>
                </c:pt>
                <c:pt idx="22">
                  <c:v>42878</c:v>
                </c:pt>
                <c:pt idx="23">
                  <c:v>42877</c:v>
                </c:pt>
                <c:pt idx="24">
                  <c:v>42874</c:v>
                </c:pt>
                <c:pt idx="25">
                  <c:v>42873</c:v>
                </c:pt>
              </c:numCache>
            </c:numRef>
          </c:cat>
          <c:val>
            <c:numRef>
              <c:f>MACD!$H$2:$H$27</c:f>
              <c:numCache>
                <c:formatCode>General</c:formatCode>
                <c:ptCount val="26"/>
                <c:pt idx="0">
                  <c:v>2.2674958997108448</c:v>
                </c:pt>
                <c:pt idx="1">
                  <c:v>2.3493322215034573</c:v>
                </c:pt>
                <c:pt idx="2">
                  <c:v>2.4425221126423367</c:v>
                </c:pt>
                <c:pt idx="3">
                  <c:v>2.5562296156938893</c:v>
                </c:pt>
                <c:pt idx="4">
                  <c:v>2.6721559736635334</c:v>
                </c:pt>
                <c:pt idx="5">
                  <c:v>2.7840524382187724</c:v>
                </c:pt>
                <c:pt idx="6">
                  <c:v>2.8927413447860935</c:v>
                </c:pt>
                <c:pt idx="7">
                  <c:v>2.9987250083957355</c:v>
                </c:pt>
                <c:pt idx="8">
                  <c:v>3.1009020964929541</c:v>
                </c:pt>
                <c:pt idx="9">
                  <c:v>3.1931707614729015</c:v>
                </c:pt>
                <c:pt idx="10">
                  <c:v>3.2648324040016425</c:v>
                </c:pt>
                <c:pt idx="11">
                  <c:v>3.3000708533770911</c:v>
                </c:pt>
                <c:pt idx="12">
                  <c:v>3.328101443621724</c:v>
                </c:pt>
                <c:pt idx="13">
                  <c:v>3.3429608305358278</c:v>
                </c:pt>
                <c:pt idx="14">
                  <c:v>3.3454595026014311</c:v>
                </c:pt>
                <c:pt idx="15">
                  <c:v>3.3357935482424801</c:v>
                </c:pt>
                <c:pt idx="16">
                  <c:v>3.3290689754923171</c:v>
                </c:pt>
                <c:pt idx="17">
                  <c:v>3.3267904266294912</c:v>
                </c:pt>
                <c:pt idx="18">
                  <c:v>3.327334915026936</c:v>
                </c:pt>
                <c:pt idx="19">
                  <c:v>3.3265534935750409</c:v>
                </c:pt>
                <c:pt idx="20">
                  <c:v>3.3257032163486833</c:v>
                </c:pt>
                <c:pt idx="21">
                  <c:v>3.3215531793601514</c:v>
                </c:pt>
                <c:pt idx="22">
                  <c:v>3.3139306010556098</c:v>
                </c:pt>
                <c:pt idx="23">
                  <c:v>3.3006290953982167</c:v>
                </c:pt>
                <c:pt idx="24">
                  <c:v>3.2683939019412329</c:v>
                </c:pt>
                <c:pt idx="25">
                  <c:v>3.2199279800824478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1652792"/>
        <c:axId val="381648088"/>
      </c:lineChart>
      <c:dateAx>
        <c:axId val="381652792"/>
        <c:scaling>
          <c:orientation val="minMax"/>
        </c:scaling>
        <c:delete val="0"/>
        <c:axPos val="b"/>
        <c:numFmt formatCode="m/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648088"/>
        <c:crosses val="autoZero"/>
        <c:auto val="1"/>
        <c:lblOffset val="100"/>
        <c:baseTimeUnit val="days"/>
        <c:majorUnit val="7"/>
        <c:majorTimeUnit val="days"/>
      </c:dateAx>
      <c:valAx>
        <c:axId val="38164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652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0</xdr:row>
      <xdr:rowOff>47625</xdr:rowOff>
    </xdr:from>
    <xdr:to>
      <xdr:col>16</xdr:col>
      <xdr:colOff>66675</xdr:colOff>
      <xdr:row>14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309562</xdr:colOff>
      <xdr:row>15</xdr:row>
      <xdr:rowOff>76200</xdr:rowOff>
    </xdr:from>
    <xdr:to>
      <xdr:col>16</xdr:col>
      <xdr:colOff>4762</xdr:colOff>
      <xdr:row>30</xdr:row>
      <xdr:rowOff>152400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12</xdr:row>
          <xdr:rowOff>19050</xdr:rowOff>
        </xdr:from>
        <xdr:to>
          <xdr:col>0</xdr:col>
          <xdr:colOff>1733550</xdr:colOff>
          <xdr:row>15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Retrieve Data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MACD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80"/>
  <sheetViews>
    <sheetView tabSelected="1" workbookViewId="0">
      <selection activeCell="H2" sqref="H2"/>
    </sheetView>
  </sheetViews>
  <sheetFormatPr defaultRowHeight="15" x14ac:dyDescent="0.25"/>
  <cols>
    <col min="1" max="1" width="20.5703125" customWidth="1"/>
    <col min="2" max="2" width="1.7109375" customWidth="1"/>
    <col min="3" max="3" width="18.140625" customWidth="1"/>
    <col min="4" max="4" width="16.7109375" bestFit="1" customWidth="1"/>
    <col min="5" max="6" width="12" bestFit="1" customWidth="1"/>
    <col min="8" max="8" width="12" bestFit="1" customWidth="1"/>
  </cols>
  <sheetData>
    <row r="1" spans="1:8" x14ac:dyDescent="0.25">
      <c r="A1" t="s">
        <v>5</v>
      </c>
      <c r="C1" t="str">
        <f>_xll.QSERIES({"WIKI/MCD/DATE","WIKI/MCD/CLOSE"},,"daily","desc",,52)</f>
        <v>DATE</v>
      </c>
      <c r="D1" t="s">
        <v>8</v>
      </c>
      <c r="E1" t="s">
        <v>1</v>
      </c>
      <c r="F1" t="s">
        <v>2</v>
      </c>
      <c r="G1" t="s">
        <v>0</v>
      </c>
      <c r="H1" t="s">
        <v>6</v>
      </c>
    </row>
    <row r="2" spans="1:8" x14ac:dyDescent="0.25">
      <c r="A2" t="s">
        <v>7</v>
      </c>
      <c r="C2" s="1">
        <v>42909</v>
      </c>
      <c r="D2">
        <v>154.63999999999999</v>
      </c>
      <c r="E2">
        <f t="shared" ref="E2:E51" si="0">$D2*2/27+ $E3*(1-2/27)</f>
        <v>150.49678805032437</v>
      </c>
      <c r="F2">
        <f t="shared" ref="F2:F51" si="1">$D2*2/13+ $F3*(1-2/13)</f>
        <v>152.70282499314419</v>
      </c>
      <c r="G2">
        <f>$F2-$E2</f>
        <v>2.2060369428198214</v>
      </c>
      <c r="H2">
        <f>AVERAGE($G2:$G13)</f>
        <v>2.2674958997108448</v>
      </c>
    </row>
    <row r="3" spans="1:8" x14ac:dyDescent="0.25">
      <c r="C3" s="1">
        <v>42908</v>
      </c>
      <c r="D3">
        <v>154.80000000000001</v>
      </c>
      <c r="E3">
        <f t="shared" si="0"/>
        <v>150.16533109435031</v>
      </c>
      <c r="F3">
        <f t="shared" si="1"/>
        <v>152.35061135553406</v>
      </c>
      <c r="G3">
        <f t="shared" ref="G3:G53" si="2">$F3-$E3</f>
        <v>2.185280261183749</v>
      </c>
      <c r="H3">
        <f t="shared" ref="H3:H41" si="3">AVERAGE($G3:$G14)</f>
        <v>2.3493322215034573</v>
      </c>
    </row>
    <row r="4" spans="1:8" x14ac:dyDescent="0.25">
      <c r="A4" t="s">
        <v>3</v>
      </c>
      <c r="C4" s="1">
        <v>42907</v>
      </c>
      <c r="D4">
        <v>153.72999999999999</v>
      </c>
      <c r="E4">
        <f t="shared" si="0"/>
        <v>149.79455758189832</v>
      </c>
      <c r="F4">
        <f t="shared" si="1"/>
        <v>151.90526796563114</v>
      </c>
      <c r="G4">
        <f t="shared" si="2"/>
        <v>2.1107103837328225</v>
      </c>
      <c r="H4">
        <f t="shared" si="3"/>
        <v>2.4425221126423367</v>
      </c>
    </row>
    <row r="5" spans="1:8" x14ac:dyDescent="0.25">
      <c r="A5">
        <v>26</v>
      </c>
      <c r="C5" s="1">
        <v>42906</v>
      </c>
      <c r="D5">
        <v>154.07</v>
      </c>
      <c r="E5">
        <f t="shared" si="0"/>
        <v>149.47972218845018</v>
      </c>
      <c r="F5">
        <f t="shared" si="1"/>
        <v>151.57349850483683</v>
      </c>
      <c r="G5">
        <f t="shared" si="2"/>
        <v>2.0937763163866521</v>
      </c>
      <c r="H5">
        <f t="shared" si="3"/>
        <v>2.5562296156938893</v>
      </c>
    </row>
    <row r="6" spans="1:8" x14ac:dyDescent="0.25">
      <c r="C6" s="1">
        <v>42905</v>
      </c>
      <c r="D6">
        <v>153.13999999999999</v>
      </c>
      <c r="E6">
        <f t="shared" si="0"/>
        <v>149.11249996352618</v>
      </c>
      <c r="F6">
        <f t="shared" si="1"/>
        <v>151.11958914207989</v>
      </c>
      <c r="G6">
        <f t="shared" si="2"/>
        <v>2.0070891785537128</v>
      </c>
      <c r="H6">
        <f t="shared" si="3"/>
        <v>2.6721559736635334</v>
      </c>
    </row>
    <row r="7" spans="1:8" x14ac:dyDescent="0.25">
      <c r="A7" t="s">
        <v>4</v>
      </c>
      <c r="C7" s="1">
        <v>42902</v>
      </c>
      <c r="D7">
        <v>151.99</v>
      </c>
      <c r="E7">
        <f t="shared" si="0"/>
        <v>148.79029996060825</v>
      </c>
      <c r="F7">
        <f t="shared" si="1"/>
        <v>150.75224171336714</v>
      </c>
      <c r="G7">
        <f t="shared" si="2"/>
        <v>1.9619417527588894</v>
      </c>
      <c r="H7">
        <f t="shared" si="3"/>
        <v>2.7840524382187724</v>
      </c>
    </row>
    <row r="8" spans="1:8" x14ac:dyDescent="0.25">
      <c r="A8">
        <v>12</v>
      </c>
      <c r="C8" s="1">
        <v>42901</v>
      </c>
      <c r="D8">
        <v>151.16999999999999</v>
      </c>
      <c r="E8">
        <f t="shared" si="0"/>
        <v>148.53432395745691</v>
      </c>
      <c r="F8">
        <f t="shared" si="1"/>
        <v>150.52719475216117</v>
      </c>
      <c r="G8">
        <f t="shared" si="2"/>
        <v>1.9928707947042597</v>
      </c>
      <c r="H8">
        <f t="shared" si="3"/>
        <v>2.8927413447860935</v>
      </c>
    </row>
    <row r="9" spans="1:8" x14ac:dyDescent="0.25">
      <c r="C9" s="1">
        <v>42900</v>
      </c>
      <c r="D9">
        <v>150.68</v>
      </c>
      <c r="E9">
        <f t="shared" si="0"/>
        <v>148.32346987405344</v>
      </c>
      <c r="F9">
        <f t="shared" si="1"/>
        <v>150.4103210707359</v>
      </c>
      <c r="G9">
        <f t="shared" si="2"/>
        <v>2.0868511966824599</v>
      </c>
      <c r="H9">
        <f t="shared" si="3"/>
        <v>2.9987250083957355</v>
      </c>
    </row>
    <row r="10" spans="1:8" x14ac:dyDescent="0.25">
      <c r="C10" s="1">
        <v>42899</v>
      </c>
      <c r="D10">
        <v>149.82</v>
      </c>
      <c r="E10">
        <f t="shared" si="0"/>
        <v>148.13494746397774</v>
      </c>
      <c r="F10">
        <f t="shared" si="1"/>
        <v>150.36128853814245</v>
      </c>
      <c r="G10">
        <f t="shared" si="2"/>
        <v>2.2263410741647078</v>
      </c>
      <c r="H10">
        <f t="shared" si="3"/>
        <v>3.1009020964929541</v>
      </c>
    </row>
    <row r="11" spans="1:8" x14ac:dyDescent="0.25">
      <c r="C11" s="1">
        <v>42898</v>
      </c>
      <c r="D11">
        <v>148.47</v>
      </c>
      <c r="E11">
        <f t="shared" si="0"/>
        <v>148.00014326109596</v>
      </c>
      <c r="F11">
        <f t="shared" si="1"/>
        <v>150.45970463598653</v>
      </c>
      <c r="G11">
        <f t="shared" si="2"/>
        <v>2.4595613748905691</v>
      </c>
      <c r="H11">
        <f t="shared" si="3"/>
        <v>3.1931707614729015</v>
      </c>
    </row>
    <row r="12" spans="1:8" x14ac:dyDescent="0.25">
      <c r="C12" s="1">
        <v>42895</v>
      </c>
      <c r="D12">
        <v>151.47999999999999</v>
      </c>
      <c r="E12">
        <f t="shared" si="0"/>
        <v>147.96255472198365</v>
      </c>
      <c r="F12">
        <f t="shared" si="1"/>
        <v>150.8214691152568</v>
      </c>
      <c r="G12">
        <f t="shared" si="2"/>
        <v>2.8589143932731531</v>
      </c>
      <c r="H12">
        <f t="shared" si="3"/>
        <v>3.2648324040016425</v>
      </c>
    </row>
    <row r="13" spans="1:8" x14ac:dyDescent="0.25">
      <c r="A13" s="1"/>
      <c r="C13" s="1">
        <v>42894</v>
      </c>
      <c r="D13">
        <v>151.43</v>
      </c>
      <c r="E13">
        <f t="shared" si="0"/>
        <v>147.68115909974233</v>
      </c>
      <c r="F13">
        <f t="shared" si="1"/>
        <v>150.70173622712167</v>
      </c>
      <c r="G13">
        <f t="shared" si="2"/>
        <v>3.0205771273793403</v>
      </c>
      <c r="H13">
        <f t="shared" si="3"/>
        <v>3.3000708533770911</v>
      </c>
    </row>
    <row r="14" spans="1:8" x14ac:dyDescent="0.25">
      <c r="C14" s="1">
        <v>42893</v>
      </c>
      <c r="D14">
        <v>151.94</v>
      </c>
      <c r="E14">
        <f t="shared" si="0"/>
        <v>147.38125182772171</v>
      </c>
      <c r="F14">
        <f t="shared" si="1"/>
        <v>150.56932463205288</v>
      </c>
      <c r="G14">
        <f t="shared" si="2"/>
        <v>3.1880728043311706</v>
      </c>
      <c r="H14">
        <f t="shared" si="3"/>
        <v>3.328101443621724</v>
      </c>
    </row>
    <row r="15" spans="1:8" x14ac:dyDescent="0.25">
      <c r="C15" s="1">
        <v>42892</v>
      </c>
      <c r="D15">
        <v>151.22999999999999</v>
      </c>
      <c r="E15">
        <f t="shared" si="0"/>
        <v>147.01655197393947</v>
      </c>
      <c r="F15">
        <f t="shared" si="1"/>
        <v>150.32011092878977</v>
      </c>
      <c r="G15">
        <f t="shared" si="2"/>
        <v>3.3035589548503026</v>
      </c>
      <c r="H15">
        <f t="shared" si="3"/>
        <v>3.3429608305358278</v>
      </c>
    </row>
    <row r="16" spans="1:8" x14ac:dyDescent="0.25">
      <c r="C16" s="1">
        <v>42891</v>
      </c>
      <c r="D16">
        <v>152.79</v>
      </c>
      <c r="E16">
        <f t="shared" si="0"/>
        <v>146.67947613185464</v>
      </c>
      <c r="F16">
        <f t="shared" si="1"/>
        <v>150.1546765522061</v>
      </c>
      <c r="G16">
        <f t="shared" si="2"/>
        <v>3.4752004203514559</v>
      </c>
      <c r="H16">
        <f t="shared" si="3"/>
        <v>3.3454595026014311</v>
      </c>
    </row>
    <row r="17" spans="1:8" x14ac:dyDescent="0.25">
      <c r="C17" s="1">
        <v>42888</v>
      </c>
      <c r="D17">
        <v>153.74</v>
      </c>
      <c r="E17">
        <f t="shared" si="0"/>
        <v>146.19063422240302</v>
      </c>
      <c r="F17">
        <f t="shared" si="1"/>
        <v>149.6755268344254</v>
      </c>
      <c r="G17">
        <f t="shared" si="2"/>
        <v>3.484892612022378</v>
      </c>
      <c r="H17">
        <f t="shared" si="3"/>
        <v>3.3357935482424801</v>
      </c>
    </row>
    <row r="18" spans="1:8" x14ac:dyDescent="0.25">
      <c r="C18" s="1">
        <v>42887</v>
      </c>
      <c r="D18">
        <v>152.38999999999999</v>
      </c>
      <c r="E18">
        <f t="shared" si="0"/>
        <v>145.58668496019524</v>
      </c>
      <c r="F18">
        <f t="shared" si="1"/>
        <v>148.93653171341182</v>
      </c>
      <c r="G18">
        <f t="shared" si="2"/>
        <v>3.3498467532165819</v>
      </c>
      <c r="H18">
        <f t="shared" si="3"/>
        <v>3.3290689754923171</v>
      </c>
    </row>
    <row r="19" spans="1:8" x14ac:dyDescent="0.25">
      <c r="C19" s="1">
        <v>42886</v>
      </c>
      <c r="D19">
        <v>150.88999999999999</v>
      </c>
      <c r="E19">
        <f t="shared" si="0"/>
        <v>145.04241975701086</v>
      </c>
      <c r="F19">
        <f t="shared" si="1"/>
        <v>148.3086283885776</v>
      </c>
      <c r="G19">
        <f t="shared" si="2"/>
        <v>3.2662086315667409</v>
      </c>
      <c r="H19">
        <f t="shared" si="3"/>
        <v>3.3267904266294912</v>
      </c>
    </row>
    <row r="20" spans="1:8" x14ac:dyDescent="0.25">
      <c r="C20" s="1">
        <v>42885</v>
      </c>
      <c r="D20">
        <v>149.93</v>
      </c>
      <c r="E20">
        <f t="shared" si="0"/>
        <v>144.57461333757175</v>
      </c>
      <c r="F20">
        <f t="shared" si="1"/>
        <v>147.83928809559171</v>
      </c>
      <c r="G20">
        <f t="shared" si="2"/>
        <v>3.2646747580199644</v>
      </c>
      <c r="H20">
        <f t="shared" si="3"/>
        <v>3.327334915026936</v>
      </c>
    </row>
    <row r="21" spans="1:8" x14ac:dyDescent="0.25">
      <c r="C21" s="1">
        <v>42881</v>
      </c>
      <c r="D21">
        <v>149.86000000000001</v>
      </c>
      <c r="E21">
        <f t="shared" si="0"/>
        <v>144.14618240457747</v>
      </c>
      <c r="F21">
        <f t="shared" si="1"/>
        <v>147.45915865842656</v>
      </c>
      <c r="G21">
        <f t="shared" si="2"/>
        <v>3.3129762538490866</v>
      </c>
      <c r="H21">
        <f t="shared" si="3"/>
        <v>3.3265534935750409</v>
      </c>
    </row>
    <row r="22" spans="1:8" x14ac:dyDescent="0.25">
      <c r="A22" s="1"/>
      <c r="C22" s="1">
        <v>42880</v>
      </c>
      <c r="D22">
        <v>149.78</v>
      </c>
      <c r="E22">
        <f t="shared" si="0"/>
        <v>143.68907699694367</v>
      </c>
      <c r="F22">
        <f t="shared" si="1"/>
        <v>147.02264205086774</v>
      </c>
      <c r="G22">
        <f t="shared" si="2"/>
        <v>3.333565053924076</v>
      </c>
      <c r="H22">
        <f t="shared" si="3"/>
        <v>3.3257032163486833</v>
      </c>
    </row>
    <row r="23" spans="1:8" x14ac:dyDescent="0.25">
      <c r="C23" s="1">
        <v>42879</v>
      </c>
      <c r="D23">
        <v>149.5</v>
      </c>
      <c r="E23">
        <f t="shared" si="0"/>
        <v>143.20180315669916</v>
      </c>
      <c r="F23">
        <f t="shared" si="1"/>
        <v>146.52130424193462</v>
      </c>
      <c r="G23">
        <f t="shared" si="2"/>
        <v>3.3195010852354585</v>
      </c>
      <c r="H23">
        <f t="shared" si="3"/>
        <v>3.3215531793601514</v>
      </c>
    </row>
    <row r="24" spans="1:8" x14ac:dyDescent="0.25">
      <c r="C24" s="1">
        <v>42878</v>
      </c>
      <c r="D24">
        <v>147.82</v>
      </c>
      <c r="E24">
        <f t="shared" si="0"/>
        <v>142.6979474092351</v>
      </c>
      <c r="F24">
        <f t="shared" si="1"/>
        <v>145.97972319501363</v>
      </c>
      <c r="G24">
        <f t="shared" si="2"/>
        <v>3.2817757857785352</v>
      </c>
      <c r="H24">
        <f t="shared" si="3"/>
        <v>3.3139306010556098</v>
      </c>
    </row>
    <row r="25" spans="1:8" x14ac:dyDescent="0.25">
      <c r="C25" s="1">
        <v>42877</v>
      </c>
      <c r="D25">
        <v>148.19</v>
      </c>
      <c r="E25">
        <f t="shared" si="0"/>
        <v>142.28818320197391</v>
      </c>
      <c r="F25">
        <f t="shared" si="1"/>
        <v>145.64512741228884</v>
      </c>
      <c r="G25">
        <f t="shared" si="2"/>
        <v>3.3569442103149356</v>
      </c>
      <c r="H25">
        <f t="shared" si="3"/>
        <v>3.3006290953982167</v>
      </c>
    </row>
    <row r="26" spans="1:8" x14ac:dyDescent="0.25">
      <c r="C26" s="1">
        <v>42874</v>
      </c>
      <c r="D26">
        <v>148.15</v>
      </c>
      <c r="E26">
        <f t="shared" si="0"/>
        <v>141.81603785813184</v>
      </c>
      <c r="F26">
        <f t="shared" si="1"/>
        <v>145.18242330543225</v>
      </c>
      <c r="G26">
        <f t="shared" si="2"/>
        <v>3.3663854473004164</v>
      </c>
      <c r="H26">
        <f t="shared" si="3"/>
        <v>3.2683939019412329</v>
      </c>
    </row>
    <row r="27" spans="1:8" x14ac:dyDescent="0.25">
      <c r="A27" s="2"/>
      <c r="C27" s="1">
        <v>42873</v>
      </c>
      <c r="D27">
        <v>147.01</v>
      </c>
      <c r="E27">
        <f t="shared" si="0"/>
        <v>141.30932088678239</v>
      </c>
      <c r="F27">
        <f t="shared" si="1"/>
        <v>144.64286390641993</v>
      </c>
      <c r="G27">
        <f t="shared" si="2"/>
        <v>3.3335430196375455</v>
      </c>
      <c r="H27">
        <f t="shared" si="3"/>
        <v>3.2199279800824478</v>
      </c>
    </row>
    <row r="28" spans="1:8" x14ac:dyDescent="0.25">
      <c r="A28" s="1"/>
      <c r="C28" s="1">
        <v>42872</v>
      </c>
      <c r="D28">
        <v>146.41</v>
      </c>
      <c r="E28">
        <f t="shared" si="0"/>
        <v>140.85326655772496</v>
      </c>
      <c r="F28">
        <f t="shared" si="1"/>
        <v>144.21247552576901</v>
      </c>
      <c r="G28">
        <f t="shared" si="2"/>
        <v>3.3592089680440438</v>
      </c>
      <c r="H28">
        <f t="shared" si="3"/>
        <v>3.1581537358663376</v>
      </c>
    </row>
    <row r="29" spans="1:8" x14ac:dyDescent="0.25">
      <c r="A29" s="1"/>
      <c r="C29" s="1">
        <v>42871</v>
      </c>
      <c r="D29">
        <v>147.29</v>
      </c>
      <c r="E29">
        <f t="shared" si="0"/>
        <v>140.40872788234296</v>
      </c>
      <c r="F29">
        <f t="shared" si="1"/>
        <v>143.81292562136338</v>
      </c>
      <c r="G29">
        <f t="shared" si="2"/>
        <v>3.4041977390204181</v>
      </c>
      <c r="H29">
        <f t="shared" si="3"/>
        <v>3.0824129795148707</v>
      </c>
    </row>
    <row r="30" spans="1:8" x14ac:dyDescent="0.25">
      <c r="A30" s="1"/>
      <c r="C30" s="1">
        <v>42870</v>
      </c>
      <c r="D30">
        <v>146.28</v>
      </c>
      <c r="E30">
        <f t="shared" si="0"/>
        <v>139.8582261129304</v>
      </c>
      <c r="F30">
        <f t="shared" si="1"/>
        <v>143.18073027979307</v>
      </c>
      <c r="G30">
        <f t="shared" si="2"/>
        <v>3.3225041668626716</v>
      </c>
      <c r="H30">
        <f t="shared" si="3"/>
        <v>2.9855354374636298</v>
      </c>
    </row>
    <row r="31" spans="1:8" x14ac:dyDescent="0.25">
      <c r="A31" s="1"/>
      <c r="C31" s="1">
        <v>42867</v>
      </c>
      <c r="D31">
        <v>145.36000000000001</v>
      </c>
      <c r="E31">
        <f t="shared" si="0"/>
        <v>139.34448420196483</v>
      </c>
      <c r="F31">
        <f t="shared" si="1"/>
        <v>142.61722669430091</v>
      </c>
      <c r="G31">
        <f t="shared" si="2"/>
        <v>3.2727424923360786</v>
      </c>
      <c r="H31">
        <f t="shared" si="3"/>
        <v>2.8809069804581546</v>
      </c>
    </row>
    <row r="32" spans="1:8" x14ac:dyDescent="0.25">
      <c r="A32" s="1"/>
      <c r="C32" s="1">
        <v>42866</v>
      </c>
      <c r="D32">
        <v>144.21</v>
      </c>
      <c r="E32">
        <f t="shared" si="0"/>
        <v>138.86324293812203</v>
      </c>
      <c r="F32">
        <f t="shared" si="1"/>
        <v>142.11854063871925</v>
      </c>
      <c r="G32">
        <f t="shared" si="2"/>
        <v>3.2552977005972252</v>
      </c>
      <c r="H32">
        <f t="shared" si="3"/>
        <v>2.751361951376623</v>
      </c>
    </row>
    <row r="33" spans="1:8" x14ac:dyDescent="0.25">
      <c r="A33" s="1"/>
      <c r="C33" s="1">
        <v>42865</v>
      </c>
      <c r="D33">
        <v>144.52000000000001</v>
      </c>
      <c r="E33">
        <f t="shared" si="0"/>
        <v>138.43550237317177</v>
      </c>
      <c r="F33">
        <f t="shared" si="1"/>
        <v>141.73827530030457</v>
      </c>
      <c r="G33">
        <f t="shared" si="2"/>
        <v>3.3027729271327928</v>
      </c>
      <c r="H33">
        <f t="shared" si="3"/>
        <v>2.5843470919349585</v>
      </c>
    </row>
    <row r="34" spans="1:8" x14ac:dyDescent="0.25">
      <c r="A34" s="1"/>
      <c r="C34" s="1">
        <v>42864</v>
      </c>
      <c r="D34">
        <v>144.36000000000001</v>
      </c>
      <c r="E34">
        <f t="shared" si="0"/>
        <v>137.94874256302552</v>
      </c>
      <c r="F34">
        <f t="shared" si="1"/>
        <v>141.23250717308721</v>
      </c>
      <c r="G34">
        <f t="shared" si="2"/>
        <v>3.2837646100616951</v>
      </c>
      <c r="H34">
        <f t="shared" si="3"/>
        <v>2.3548818651527861</v>
      </c>
    </row>
    <row r="35" spans="1:8" x14ac:dyDescent="0.25">
      <c r="A35" s="1"/>
      <c r="C35" s="1">
        <v>42863</v>
      </c>
      <c r="D35">
        <v>144.24</v>
      </c>
      <c r="E35">
        <f t="shared" si="0"/>
        <v>137.43584196806756</v>
      </c>
      <c r="F35">
        <f t="shared" si="1"/>
        <v>140.66387211364852</v>
      </c>
      <c r="G35">
        <f t="shared" si="2"/>
        <v>3.2280301455809592</v>
      </c>
      <c r="H35">
        <f t="shared" si="3"/>
        <v>2.1150570576576819</v>
      </c>
    </row>
    <row r="36" spans="1:8" x14ac:dyDescent="0.25">
      <c r="A36" s="1"/>
      <c r="C36" s="1">
        <v>42860</v>
      </c>
      <c r="D36">
        <v>143.96</v>
      </c>
      <c r="E36">
        <f t="shared" si="0"/>
        <v>136.89150932551297</v>
      </c>
      <c r="F36">
        <f t="shared" si="1"/>
        <v>140.01366704340279</v>
      </c>
      <c r="G36">
        <f t="shared" si="2"/>
        <v>3.1221577178898201</v>
      </c>
      <c r="H36">
        <f t="shared" si="3"/>
        <v>1.8710980188889106</v>
      </c>
    </row>
    <row r="37" spans="1:8" x14ac:dyDescent="0.25">
      <c r="A37" s="1"/>
      <c r="C37" s="1">
        <v>42859</v>
      </c>
      <c r="D37">
        <v>143.44999999999999</v>
      </c>
      <c r="E37">
        <f t="shared" si="0"/>
        <v>136.32603007155399</v>
      </c>
      <c r="F37">
        <f t="shared" si="1"/>
        <v>139.29615196038512</v>
      </c>
      <c r="G37">
        <f t="shared" si="2"/>
        <v>2.9701218888311303</v>
      </c>
      <c r="H37">
        <f t="shared" si="3"/>
        <v>1.6255803897371734</v>
      </c>
    </row>
    <row r="38" spans="1:8" x14ac:dyDescent="0.25">
      <c r="A38" s="1"/>
      <c r="C38" s="1">
        <v>42858</v>
      </c>
      <c r="D38">
        <v>142.62</v>
      </c>
      <c r="E38">
        <f t="shared" si="0"/>
        <v>135.75611247727832</v>
      </c>
      <c r="F38">
        <f t="shared" si="1"/>
        <v>138.54090686227332</v>
      </c>
      <c r="G38">
        <f t="shared" si="2"/>
        <v>2.7847943849949957</v>
      </c>
      <c r="H38">
        <f t="shared" si="3"/>
        <v>1.3846142949812641</v>
      </c>
    </row>
    <row r="39" spans="1:8" x14ac:dyDescent="0.25">
      <c r="A39" s="1"/>
      <c r="C39" s="1">
        <v>42857</v>
      </c>
      <c r="D39">
        <v>141.22999999999999</v>
      </c>
      <c r="E39">
        <f t="shared" si="0"/>
        <v>135.2070014754606</v>
      </c>
      <c r="F39">
        <f t="shared" si="1"/>
        <v>137.79925356450482</v>
      </c>
      <c r="G39">
        <f t="shared" si="2"/>
        <v>2.5922520890442229</v>
      </c>
      <c r="H39">
        <f t="shared" si="3"/>
        <v>1.1515201503536947</v>
      </c>
    </row>
    <row r="40" spans="1:8" x14ac:dyDescent="0.25">
      <c r="A40" s="1"/>
      <c r="C40" s="1">
        <v>42856</v>
      </c>
      <c r="D40">
        <v>141.15</v>
      </c>
      <c r="E40">
        <f t="shared" si="0"/>
        <v>134.72516159349746</v>
      </c>
      <c r="F40">
        <f t="shared" si="1"/>
        <v>137.1754814853239</v>
      </c>
      <c r="G40">
        <f t="shared" si="2"/>
        <v>2.4503198918264388</v>
      </c>
      <c r="H40">
        <f t="shared" si="3"/>
        <v>0.93288211872087834</v>
      </c>
    </row>
    <row r="41" spans="1:8" x14ac:dyDescent="0.25">
      <c r="A41" s="1"/>
      <c r="C41" s="1">
        <v>42853</v>
      </c>
      <c r="D41">
        <v>139.93</v>
      </c>
      <c r="E41">
        <f t="shared" si="0"/>
        <v>134.21117452097727</v>
      </c>
      <c r="F41">
        <f t="shared" si="1"/>
        <v>136.45284175538279</v>
      </c>
      <c r="G41">
        <f t="shared" si="2"/>
        <v>2.2416672344055257</v>
      </c>
      <c r="H41">
        <f t="shared" si="3"/>
        <v>0.72908765480087112</v>
      </c>
    </row>
    <row r="42" spans="1:8" x14ac:dyDescent="0.25">
      <c r="A42" s="1"/>
      <c r="C42" s="1">
        <v>42852</v>
      </c>
      <c r="D42">
        <v>140.87</v>
      </c>
      <c r="E42">
        <f t="shared" si="0"/>
        <v>133.75366848265543</v>
      </c>
      <c r="F42">
        <f t="shared" si="1"/>
        <v>135.8206311654524</v>
      </c>
      <c r="G42">
        <f t="shared" si="2"/>
        <v>2.0669626827969694</v>
      </c>
    </row>
    <row r="43" spans="1:8" x14ac:dyDescent="0.25">
      <c r="A43" s="1"/>
      <c r="C43" s="1">
        <v>42851</v>
      </c>
      <c r="D43">
        <v>140.84</v>
      </c>
      <c r="E43">
        <f t="shared" si="0"/>
        <v>133.18436196126785</v>
      </c>
      <c r="F43">
        <f t="shared" si="1"/>
        <v>134.90256410462555</v>
      </c>
      <c r="G43">
        <f t="shared" si="2"/>
        <v>1.7182021433577006</v>
      </c>
    </row>
    <row r="44" spans="1:8" x14ac:dyDescent="0.25">
      <c r="A44" s="1"/>
      <c r="C44" s="1">
        <v>42850</v>
      </c>
      <c r="D44">
        <v>141.69999999999999</v>
      </c>
      <c r="E44">
        <f t="shared" si="0"/>
        <v>132.57191091816929</v>
      </c>
      <c r="F44">
        <f t="shared" si="1"/>
        <v>133.82303030546655</v>
      </c>
      <c r="G44">
        <f t="shared" si="2"/>
        <v>1.2511193872972513</v>
      </c>
    </row>
    <row r="45" spans="1:8" x14ac:dyDescent="0.25">
      <c r="A45" s="1"/>
      <c r="C45" s="1">
        <v>42849</v>
      </c>
      <c r="D45">
        <v>134.22999999999999</v>
      </c>
      <c r="E45">
        <f t="shared" si="0"/>
        <v>131.84166379162284</v>
      </c>
      <c r="F45">
        <f t="shared" si="1"/>
        <v>132.39085399736956</v>
      </c>
      <c r="G45">
        <f t="shared" si="2"/>
        <v>0.54919020574672572</v>
      </c>
    </row>
    <row r="46" spans="1:8" x14ac:dyDescent="0.25">
      <c r="A46" s="1"/>
      <c r="C46" s="1">
        <v>42846</v>
      </c>
      <c r="D46">
        <v>133.41</v>
      </c>
      <c r="E46">
        <f t="shared" si="0"/>
        <v>131.65059689495266</v>
      </c>
      <c r="F46">
        <f t="shared" si="1"/>
        <v>132.0564638150731</v>
      </c>
      <c r="G46">
        <f t="shared" si="2"/>
        <v>0.40586692012044523</v>
      </c>
    </row>
    <row r="47" spans="1:8" x14ac:dyDescent="0.25">
      <c r="A47" s="1"/>
      <c r="C47" s="1">
        <v>42845</v>
      </c>
      <c r="D47">
        <v>133.27000000000001</v>
      </c>
      <c r="E47">
        <f t="shared" si="0"/>
        <v>131.50984464654888</v>
      </c>
      <c r="F47">
        <f t="shared" si="1"/>
        <v>131.81036632690459</v>
      </c>
      <c r="G47">
        <f t="shared" si="2"/>
        <v>0.30052168035570048</v>
      </c>
    </row>
    <row r="48" spans="1:8" x14ac:dyDescent="0.25">
      <c r="A48" s="1"/>
      <c r="C48" s="1">
        <v>42844</v>
      </c>
      <c r="D48">
        <v>132.63999999999999</v>
      </c>
      <c r="E48">
        <f t="shared" si="0"/>
        <v>131.36903221827279</v>
      </c>
      <c r="F48">
        <f t="shared" si="1"/>
        <v>131.54497838634177</v>
      </c>
      <c r="G48">
        <f t="shared" si="2"/>
        <v>0.17594616806897534</v>
      </c>
    </row>
    <row r="49" spans="1:7" x14ac:dyDescent="0.25">
      <c r="A49" s="1"/>
      <c r="C49" s="1">
        <v>42843</v>
      </c>
      <c r="D49">
        <v>132.30000000000001</v>
      </c>
      <c r="E49">
        <f t="shared" si="0"/>
        <v>131.2673547957346</v>
      </c>
      <c r="F49">
        <f t="shared" si="1"/>
        <v>131.34588354749482</v>
      </c>
      <c r="G49">
        <f t="shared" si="2"/>
        <v>7.8528751760217119E-2</v>
      </c>
    </row>
    <row r="50" spans="1:7" x14ac:dyDescent="0.25">
      <c r="A50" s="1"/>
      <c r="C50" s="1">
        <v>42842</v>
      </c>
      <c r="D50">
        <v>131.35</v>
      </c>
      <c r="E50">
        <f t="shared" si="0"/>
        <v>131.18474317939337</v>
      </c>
      <c r="F50">
        <f t="shared" si="1"/>
        <v>131.17240782885753</v>
      </c>
      <c r="G50">
        <f t="shared" si="2"/>
        <v>-1.2335350535835232E-2</v>
      </c>
    </row>
    <row r="51" spans="1:7" x14ac:dyDescent="0.25">
      <c r="A51" s="1"/>
      <c r="C51" s="1">
        <v>42838</v>
      </c>
      <c r="D51">
        <v>130.76</v>
      </c>
      <c r="E51">
        <f t="shared" si="0"/>
        <v>131.17152263374484</v>
      </c>
      <c r="F51">
        <f t="shared" si="1"/>
        <v>131.14011834319527</v>
      </c>
      <c r="G51">
        <f t="shared" si="2"/>
        <v>-3.1404290549573943E-2</v>
      </c>
    </row>
    <row r="52" spans="1:7" x14ac:dyDescent="0.25">
      <c r="A52" s="1"/>
      <c r="C52" s="1">
        <v>42837</v>
      </c>
      <c r="D52">
        <v>131.26</v>
      </c>
      <c r="E52">
        <f>$D52*2/27+ $E53*(1-2/27)</f>
        <v>131.20444444444442</v>
      </c>
      <c r="F52">
        <f>$D52*2/13+ $F53*(1-2/13)</f>
        <v>131.20923076923077</v>
      </c>
      <c r="G52">
        <f t="shared" si="2"/>
        <v>4.7863247863517699E-3</v>
      </c>
    </row>
    <row r="53" spans="1:7" x14ac:dyDescent="0.25">
      <c r="A53" s="1"/>
      <c r="C53" s="1">
        <v>42836</v>
      </c>
      <c r="D53">
        <v>131.19999999999999</v>
      </c>
      <c r="E53">
        <f>AVERAGE($D$53:$D$78)</f>
        <v>131.19999999999999</v>
      </c>
      <c r="F53">
        <f>AVERAGE($D$53:$D$64)</f>
        <v>131.19999999999999</v>
      </c>
      <c r="G53">
        <f t="shared" si="2"/>
        <v>0</v>
      </c>
    </row>
    <row r="54" spans="1:7" x14ac:dyDescent="0.25">
      <c r="A54" s="1"/>
    </row>
    <row r="55" spans="1:7" x14ac:dyDescent="0.25">
      <c r="A55" s="1"/>
    </row>
    <row r="56" spans="1:7" x14ac:dyDescent="0.25">
      <c r="A56" s="1"/>
    </row>
    <row r="57" spans="1:7" x14ac:dyDescent="0.25">
      <c r="A57" s="1"/>
    </row>
    <row r="58" spans="1:7" x14ac:dyDescent="0.25">
      <c r="A58" s="1"/>
      <c r="C58" s="1"/>
    </row>
    <row r="59" spans="1:7" x14ac:dyDescent="0.25">
      <c r="A59" s="1"/>
    </row>
    <row r="60" spans="1:7" x14ac:dyDescent="0.25">
      <c r="A60" s="1"/>
    </row>
    <row r="61" spans="1:7" x14ac:dyDescent="0.25">
      <c r="A61" s="1"/>
    </row>
    <row r="62" spans="1:7" x14ac:dyDescent="0.25">
      <c r="A62" s="1"/>
    </row>
    <row r="63" spans="1:7" x14ac:dyDescent="0.25">
      <c r="A63" s="1"/>
    </row>
    <row r="64" spans="1:7" x14ac:dyDescent="0.25">
      <c r="A64" s="1"/>
    </row>
    <row r="65" spans="1:3" x14ac:dyDescent="0.25">
      <c r="A65" s="1"/>
    </row>
    <row r="66" spans="1:3" x14ac:dyDescent="0.25">
      <c r="A66" s="1"/>
    </row>
    <row r="67" spans="1:3" x14ac:dyDescent="0.25">
      <c r="A67" s="1"/>
    </row>
    <row r="68" spans="1:3" x14ac:dyDescent="0.25">
      <c r="A68" s="1"/>
    </row>
    <row r="69" spans="1:3" x14ac:dyDescent="0.25">
      <c r="A69" s="1"/>
    </row>
    <row r="70" spans="1:3" x14ac:dyDescent="0.25">
      <c r="A70" s="1"/>
    </row>
    <row r="71" spans="1:3" x14ac:dyDescent="0.25">
      <c r="A71" s="1"/>
    </row>
    <row r="72" spans="1:3" x14ac:dyDescent="0.25">
      <c r="A72" s="1"/>
    </row>
    <row r="73" spans="1:3" x14ac:dyDescent="0.25">
      <c r="A73" s="1"/>
    </row>
    <row r="74" spans="1:3" x14ac:dyDescent="0.25">
      <c r="A74" s="1"/>
    </row>
    <row r="75" spans="1:3" x14ac:dyDescent="0.25">
      <c r="A75" s="1"/>
    </row>
    <row r="76" spans="1:3" x14ac:dyDescent="0.25">
      <c r="A76" s="1"/>
    </row>
    <row r="77" spans="1:3" x14ac:dyDescent="0.25">
      <c r="A77" s="1"/>
    </row>
    <row r="80" spans="1:3" x14ac:dyDescent="0.25">
      <c r="C80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MACD_Analysis">
                <anchor moveWithCells="1" sizeWithCells="1">
                  <from>
                    <xdr:col>0</xdr:col>
                    <xdr:colOff>266700</xdr:colOff>
                    <xdr:row>12</xdr:row>
                    <xdr:rowOff>19050</xdr:rowOff>
                  </from>
                  <to>
                    <xdr:col>0</xdr:col>
                    <xdr:colOff>1733550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MACD</vt:lpstr>
      <vt:lpstr>AVG_MACD_Start</vt:lpstr>
      <vt:lpstr>DataLoad</vt:lpstr>
      <vt:lpstr>DATE</vt:lpstr>
      <vt:lpstr>LMA_Start</vt:lpstr>
      <vt:lpstr>LoadData</vt:lpstr>
      <vt:lpstr>LongTerm</vt:lpstr>
      <vt:lpstr>LongWindow</vt:lpstr>
      <vt:lpstr>MACD_Start</vt:lpstr>
      <vt:lpstr>ShortTerm</vt:lpstr>
      <vt:lpstr>SMA_Start</vt:lpstr>
      <vt:lpstr>Ticker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 Williams</dc:creator>
  <cp:lastModifiedBy>Zach Williams</cp:lastModifiedBy>
  <dcterms:created xsi:type="dcterms:W3CDTF">2017-06-23T16:22:54Z</dcterms:created>
  <dcterms:modified xsi:type="dcterms:W3CDTF">2017-06-25T02:21:15Z</dcterms:modified>
</cp:coreProperties>
</file>