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lwillia\Documents\GitHub\technical_analysis\MACD\"/>
    </mc:Choice>
  </mc:AlternateContent>
  <bookViews>
    <workbookView xWindow="5580" yWindow="0" windowWidth="23070" windowHeight="9720"/>
  </bookViews>
  <sheets>
    <sheet name="MACD" sheetId="1" r:id="rId1"/>
  </sheets>
  <definedNames>
    <definedName name="AVG_MACD_Start">MACD!$H$2</definedName>
    <definedName name="DataLoad">MACD!$C$1</definedName>
    <definedName name="DataRange">OFFSET(MACD!$E$1,0,0,MACD!$A$5+1,2)</definedName>
    <definedName name="DATE">MACD!$C$1</definedName>
    <definedName name="DateRange">OFFSET(MACD!$C$1,0,0,MACD!$A$5+1,1)</definedName>
    <definedName name="LMA_Start">MACD!$E$2</definedName>
    <definedName name="LoadData">MACD!$C$1</definedName>
    <definedName name="LongTerm">MACD!$A$5</definedName>
    <definedName name="LongWindow">MACD!$A$5</definedName>
    <definedName name="MACD_Start">MACD!$G$2</definedName>
    <definedName name="ShortTerm">MACD!$A$8</definedName>
    <definedName name="SMA_Start">MACD!$F$2</definedName>
    <definedName name="Ticker">MACD!$A$2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" i="1" l="1"/>
  <c r="F52" i="1" s="1"/>
  <c r="E53" i="1"/>
  <c r="E52" i="1" s="1"/>
  <c r="E51" i="1" s="1"/>
  <c r="E50" i="1" s="1"/>
  <c r="E49" i="1" s="1"/>
  <c r="E48" i="1" s="1"/>
  <c r="E47" i="1" s="1"/>
  <c r="E46" i="1" s="1"/>
  <c r="E45" i="1" s="1"/>
  <c r="E44" i="1" s="1"/>
  <c r="E43" i="1" s="1"/>
  <c r="E42" i="1" s="1"/>
  <c r="E41" i="1" s="1"/>
  <c r="E40" i="1" s="1"/>
  <c r="E39" i="1" s="1"/>
  <c r="E38" i="1" s="1"/>
  <c r="E37" i="1" s="1"/>
  <c r="E36" i="1" s="1"/>
  <c r="E35" i="1" s="1"/>
  <c r="E34" i="1" s="1"/>
  <c r="E33" i="1" s="1"/>
  <c r="E32" i="1" s="1"/>
  <c r="E31" i="1" s="1"/>
  <c r="E30" i="1" s="1"/>
  <c r="E29" i="1" s="1"/>
  <c r="E28" i="1" s="1"/>
  <c r="E27" i="1" s="1"/>
  <c r="E26" i="1" s="1"/>
  <c r="E25" i="1" s="1"/>
  <c r="E24" i="1" s="1"/>
  <c r="E23" i="1" s="1"/>
  <c r="E22" i="1" s="1"/>
  <c r="E21" i="1" s="1"/>
  <c r="E20" i="1" s="1"/>
  <c r="E19" i="1" s="1"/>
  <c r="E18" i="1" s="1"/>
  <c r="E17" i="1" s="1"/>
  <c r="E16" i="1" s="1"/>
  <c r="E15" i="1" s="1"/>
  <c r="E14" i="1" s="1"/>
  <c r="E13" i="1" s="1"/>
  <c r="E12" i="1" s="1"/>
  <c r="E11" i="1" s="1"/>
  <c r="E10" i="1" s="1"/>
  <c r="E9" i="1" s="1"/>
  <c r="E8" i="1" s="1"/>
  <c r="E7" i="1" s="1"/>
  <c r="E6" i="1" s="1"/>
  <c r="E5" i="1" s="1"/>
  <c r="E4" i="1" s="1"/>
  <c r="E3" i="1" s="1"/>
  <c r="E2" i="1" s="1"/>
  <c r="F51" i="1" l="1"/>
  <c r="G52" i="1"/>
  <c r="G53" i="1"/>
  <c r="C1" i="1"/>
  <c r="F50" i="1" l="1"/>
  <c r="G51" i="1"/>
  <c r="F49" i="1" l="1"/>
  <c r="G50" i="1"/>
  <c r="F48" i="1" l="1"/>
  <c r="G49" i="1"/>
  <c r="F47" i="1" l="1"/>
  <c r="G48" i="1"/>
  <c r="F46" i="1" l="1"/>
  <c r="G47" i="1"/>
  <c r="F45" i="1" l="1"/>
  <c r="G46" i="1"/>
  <c r="F44" i="1" l="1"/>
  <c r="G45" i="1"/>
  <c r="F43" i="1" l="1"/>
  <c r="G44" i="1"/>
  <c r="F42" i="1" l="1"/>
  <c r="G43" i="1"/>
  <c r="F41" i="1" l="1"/>
  <c r="G42" i="1"/>
  <c r="F40" i="1" l="1"/>
  <c r="G41" i="1"/>
  <c r="H41" i="1" s="1"/>
  <c r="F39" i="1" l="1"/>
  <c r="G40" i="1"/>
  <c r="H40" i="1" s="1"/>
  <c r="F38" i="1" l="1"/>
  <c r="G39" i="1"/>
  <c r="H39" i="1" s="1"/>
  <c r="F37" i="1" l="1"/>
  <c r="G38" i="1"/>
  <c r="H38" i="1" s="1"/>
  <c r="F36" i="1" l="1"/>
  <c r="G37" i="1"/>
  <c r="H37" i="1" s="1"/>
  <c r="F35" i="1" l="1"/>
  <c r="G36" i="1"/>
  <c r="H36" i="1" s="1"/>
  <c r="F34" i="1" l="1"/>
  <c r="G35" i="1"/>
  <c r="H35" i="1" s="1"/>
  <c r="F33" i="1" l="1"/>
  <c r="G34" i="1"/>
  <c r="H34" i="1" s="1"/>
  <c r="F32" i="1" l="1"/>
  <c r="G33" i="1"/>
  <c r="H33" i="1" s="1"/>
  <c r="F31" i="1" l="1"/>
  <c r="G32" i="1"/>
  <c r="H32" i="1" s="1"/>
  <c r="F30" i="1" l="1"/>
  <c r="G31" i="1"/>
  <c r="H31" i="1" s="1"/>
  <c r="F29" i="1" l="1"/>
  <c r="G30" i="1"/>
  <c r="H30" i="1" s="1"/>
  <c r="F28" i="1" l="1"/>
  <c r="G29" i="1"/>
  <c r="H29" i="1" s="1"/>
  <c r="F27" i="1" l="1"/>
  <c r="G28" i="1"/>
  <c r="H28" i="1" s="1"/>
  <c r="F26" i="1" l="1"/>
  <c r="G27" i="1"/>
  <c r="H27" i="1" s="1"/>
  <c r="F25" i="1" l="1"/>
  <c r="G26" i="1"/>
  <c r="H26" i="1" s="1"/>
  <c r="F24" i="1" l="1"/>
  <c r="G25" i="1"/>
  <c r="H25" i="1" s="1"/>
  <c r="F23" i="1" l="1"/>
  <c r="G24" i="1"/>
  <c r="H24" i="1" s="1"/>
  <c r="F22" i="1" l="1"/>
  <c r="G23" i="1"/>
  <c r="H23" i="1" s="1"/>
  <c r="F21" i="1" l="1"/>
  <c r="G22" i="1"/>
  <c r="H22" i="1" s="1"/>
  <c r="F20" i="1" l="1"/>
  <c r="G21" i="1"/>
  <c r="H21" i="1" s="1"/>
  <c r="F19" i="1" l="1"/>
  <c r="G20" i="1"/>
  <c r="H20" i="1" s="1"/>
  <c r="F18" i="1" l="1"/>
  <c r="G19" i="1"/>
  <c r="H19" i="1" s="1"/>
  <c r="F17" i="1" l="1"/>
  <c r="G18" i="1"/>
  <c r="H18" i="1" s="1"/>
  <c r="F16" i="1" l="1"/>
  <c r="G17" i="1"/>
  <c r="H17" i="1" s="1"/>
  <c r="F15" i="1" l="1"/>
  <c r="G16" i="1"/>
  <c r="H16" i="1" s="1"/>
  <c r="F14" i="1" l="1"/>
  <c r="G15" i="1"/>
  <c r="H15" i="1" s="1"/>
  <c r="F13" i="1" l="1"/>
  <c r="G14" i="1"/>
  <c r="H14" i="1" s="1"/>
  <c r="F12" i="1" l="1"/>
  <c r="G13" i="1"/>
  <c r="H13" i="1" s="1"/>
  <c r="F11" i="1" l="1"/>
  <c r="G12" i="1"/>
  <c r="H12" i="1" s="1"/>
  <c r="F10" i="1" l="1"/>
  <c r="G11" i="1"/>
  <c r="H11" i="1" s="1"/>
  <c r="F9" i="1" l="1"/>
  <c r="G10" i="1"/>
  <c r="H10" i="1" s="1"/>
  <c r="F8" i="1" l="1"/>
  <c r="G9" i="1"/>
  <c r="H9" i="1" s="1"/>
  <c r="F7" i="1" l="1"/>
  <c r="G8" i="1"/>
  <c r="H8" i="1" s="1"/>
  <c r="F6" i="1" l="1"/>
  <c r="G7" i="1"/>
  <c r="H7" i="1" s="1"/>
  <c r="F5" i="1" l="1"/>
  <c r="G6" i="1"/>
  <c r="H6" i="1" s="1"/>
  <c r="F4" i="1" l="1"/>
  <c r="G5" i="1"/>
  <c r="H5" i="1" s="1"/>
  <c r="F3" i="1" l="1"/>
  <c r="G4" i="1"/>
  <c r="H4" i="1" s="1"/>
  <c r="F2" i="1" l="1"/>
  <c r="G2" i="1" s="1"/>
  <c r="G3" i="1"/>
  <c r="H3" i="1" s="1"/>
  <c r="H2" i="1" l="1"/>
</calcChain>
</file>

<file path=xl/sharedStrings.xml><?xml version="1.0" encoding="utf-8"?>
<sst xmlns="http://schemas.openxmlformats.org/spreadsheetml/2006/main" count="9" uniqueCount="9">
  <si>
    <t>MACD</t>
  </si>
  <si>
    <t>SEMA</t>
  </si>
  <si>
    <t>FEMA</t>
  </si>
  <si>
    <t>Slow window (days)?</t>
  </si>
  <si>
    <t>Fast window (days)?</t>
  </si>
  <si>
    <t>US Stock symbol?</t>
  </si>
  <si>
    <t>Avg MACD</t>
  </si>
  <si>
    <t>TSLA</t>
  </si>
  <si>
    <t>WIKI/TSLA/CLOSE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</si>
</sst>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Slow Moving Avg vs Fast Moving Avg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SEMA</c:v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  <c:pt idx="14">
                  <c:v>42891</c:v>
                </c:pt>
                <c:pt idx="15">
                  <c:v>42888</c:v>
                </c:pt>
                <c:pt idx="16">
                  <c:v>42887</c:v>
                </c:pt>
                <c:pt idx="17">
                  <c:v>42886</c:v>
                </c:pt>
                <c:pt idx="18">
                  <c:v>42885</c:v>
                </c:pt>
                <c:pt idx="19">
                  <c:v>42881</c:v>
                </c:pt>
                <c:pt idx="20">
                  <c:v>42880</c:v>
                </c:pt>
                <c:pt idx="21">
                  <c:v>42879</c:v>
                </c:pt>
                <c:pt idx="22">
                  <c:v>42878</c:v>
                </c:pt>
                <c:pt idx="23">
                  <c:v>42877</c:v>
                </c:pt>
                <c:pt idx="24">
                  <c:v>42874</c:v>
                </c:pt>
                <c:pt idx="25">
                  <c:v>42873</c:v>
                </c:pt>
              </c:numCache>
            </c:numRef>
          </c:cat>
          <c:val>
            <c:numRef>
              <c:f>MACD!$E$2:$E$27</c:f>
              <c:numCache>
                <c:formatCode>General</c:formatCode>
                <c:ptCount val="26"/>
                <c:pt idx="0">
                  <c:v>355.42795482660688</c:v>
                </c:pt>
                <c:pt idx="1">
                  <c:v>353.18619121273542</c:v>
                </c:pt>
                <c:pt idx="2">
                  <c:v>350.83228650975423</c:v>
                </c:pt>
                <c:pt idx="3">
                  <c:v>348.78686943053452</c:v>
                </c:pt>
                <c:pt idx="4">
                  <c:v>346.9106189849773</c:v>
                </c:pt>
                <c:pt idx="5">
                  <c:v>345.07946850377544</c:v>
                </c:pt>
                <c:pt idx="6">
                  <c:v>342.97382598407745</c:v>
                </c:pt>
                <c:pt idx="7">
                  <c:v>340.38453206280366</c:v>
                </c:pt>
                <c:pt idx="8">
                  <c:v>337.16249462782793</c:v>
                </c:pt>
                <c:pt idx="9">
                  <c:v>334.05949419805415</c:v>
                </c:pt>
                <c:pt idx="10">
                  <c:v>332.06345373389843</c:v>
                </c:pt>
                <c:pt idx="11">
                  <c:v>330.04293003261029</c:v>
                </c:pt>
                <c:pt idx="12">
                  <c:v>326.84636443521913</c:v>
                </c:pt>
                <c:pt idx="13">
                  <c:v>324.22207359003664</c:v>
                </c:pt>
                <c:pt idx="14">
                  <c:v>321.93183947723958</c:v>
                </c:pt>
                <c:pt idx="15">
                  <c:v>319.9007866354188</c:v>
                </c:pt>
                <c:pt idx="16">
                  <c:v>318.3048495662523</c:v>
                </c:pt>
                <c:pt idx="17">
                  <c:v>316.53963753155244</c:v>
                </c:pt>
                <c:pt idx="18">
                  <c:v>314.58200853407664</c:v>
                </c:pt>
                <c:pt idx="19">
                  <c:v>312.94056921680277</c:v>
                </c:pt>
                <c:pt idx="20">
                  <c:v>311.96461475414696</c:v>
                </c:pt>
                <c:pt idx="21">
                  <c:v>311.57538393447868</c:v>
                </c:pt>
                <c:pt idx="22">
                  <c:v>311.68381464923698</c:v>
                </c:pt>
                <c:pt idx="23">
                  <c:v>312.30971982117592</c:v>
                </c:pt>
                <c:pt idx="24">
                  <c:v>312.46649740687002</c:v>
                </c:pt>
                <c:pt idx="25">
                  <c:v>312.59741719941962</c:v>
                </c:pt>
              </c:numCache>
            </c:numRef>
          </c:val>
          <c:smooth val="0"/>
        </c:ser>
        <c:ser>
          <c:idx val="1"/>
          <c:order val="1"/>
          <c:tx>
            <c:v>FEMA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  <c:pt idx="14">
                  <c:v>42891</c:v>
                </c:pt>
                <c:pt idx="15">
                  <c:v>42888</c:v>
                </c:pt>
                <c:pt idx="16">
                  <c:v>42887</c:v>
                </c:pt>
                <c:pt idx="17">
                  <c:v>42886</c:v>
                </c:pt>
                <c:pt idx="18">
                  <c:v>42885</c:v>
                </c:pt>
                <c:pt idx="19">
                  <c:v>42881</c:v>
                </c:pt>
                <c:pt idx="20">
                  <c:v>42880</c:v>
                </c:pt>
                <c:pt idx="21">
                  <c:v>42879</c:v>
                </c:pt>
                <c:pt idx="22">
                  <c:v>42878</c:v>
                </c:pt>
                <c:pt idx="23">
                  <c:v>42877</c:v>
                </c:pt>
                <c:pt idx="24">
                  <c:v>42874</c:v>
                </c:pt>
                <c:pt idx="25">
                  <c:v>42873</c:v>
                </c:pt>
              </c:numCache>
            </c:numRef>
          </c:cat>
          <c:val>
            <c:numRef>
              <c:f>MACD!$F$2:$F$27</c:f>
              <c:numCache>
                <c:formatCode>General</c:formatCode>
                <c:ptCount val="26"/>
                <c:pt idx="0">
                  <c:v>370.61208929103168</c:v>
                </c:pt>
                <c:pt idx="1">
                  <c:v>368.27792370758289</c:v>
                </c:pt>
                <c:pt idx="2">
                  <c:v>365.67209165441619</c:v>
                </c:pt>
                <c:pt idx="3">
                  <c:v>363.7215628643101</c:v>
                </c:pt>
                <c:pt idx="4">
                  <c:v>362.17275611236653</c:v>
                </c:pt>
                <c:pt idx="5">
                  <c:v>360.78598449643312</c:v>
                </c:pt>
                <c:pt idx="6">
                  <c:v>358.85616349578464</c:v>
                </c:pt>
                <c:pt idx="7">
                  <c:v>355.85910231320003</c:v>
                </c:pt>
                <c:pt idx="8">
                  <c:v>351.34984818832726</c:v>
                </c:pt>
                <c:pt idx="9">
                  <c:v>346.87709331347764</c:v>
                </c:pt>
                <c:pt idx="10">
                  <c:v>344.67111027956452</c:v>
                </c:pt>
                <c:pt idx="11">
                  <c:v>342.37131214857624</c:v>
                </c:pt>
                <c:pt idx="12">
                  <c:v>337.34791435740829</c:v>
                </c:pt>
                <c:pt idx="13">
                  <c:v>333.29298969511888</c:v>
                </c:pt>
                <c:pt idx="14">
                  <c:v>329.73716963968593</c:v>
                </c:pt>
                <c:pt idx="15">
                  <c:v>326.5402913923561</c:v>
                </c:pt>
                <c:pt idx="16">
                  <c:v>324.12034437278447</c:v>
                </c:pt>
                <c:pt idx="17">
                  <c:v>321.16586153147256</c:v>
                </c:pt>
                <c:pt idx="18">
                  <c:v>317.55783635537665</c:v>
                </c:pt>
                <c:pt idx="19">
                  <c:v>314.36835205635418</c:v>
                </c:pt>
                <c:pt idx="20">
                  <c:v>312.40987061205493</c:v>
                </c:pt>
                <c:pt idx="21">
                  <c:v>311.60621072333771</c:v>
                </c:pt>
                <c:pt idx="22">
                  <c:v>311.85824903667179</c:v>
                </c:pt>
                <c:pt idx="23">
                  <c:v>313.31247613424847</c:v>
                </c:pt>
                <c:pt idx="24">
                  <c:v>313.85110815865727</c:v>
                </c:pt>
                <c:pt idx="25">
                  <c:v>314.40040055114042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MACD!$F$1</c:f>
              <c:strCache>
                <c:ptCount val="1"/>
                <c:pt idx="0">
                  <c:v>FEMA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MACD!$C$2:$C$28</c:f>
              <c:numCache>
                <c:formatCode>m/d/yyyy</c:formatCode>
                <c:ptCount val="27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  <c:pt idx="14">
                  <c:v>42891</c:v>
                </c:pt>
                <c:pt idx="15">
                  <c:v>42888</c:v>
                </c:pt>
                <c:pt idx="16">
                  <c:v>42887</c:v>
                </c:pt>
                <c:pt idx="17">
                  <c:v>42886</c:v>
                </c:pt>
                <c:pt idx="18">
                  <c:v>42885</c:v>
                </c:pt>
                <c:pt idx="19">
                  <c:v>42881</c:v>
                </c:pt>
                <c:pt idx="20">
                  <c:v>42880</c:v>
                </c:pt>
                <c:pt idx="21">
                  <c:v>42879</c:v>
                </c:pt>
                <c:pt idx="22">
                  <c:v>42878</c:v>
                </c:pt>
                <c:pt idx="23">
                  <c:v>42877</c:v>
                </c:pt>
                <c:pt idx="24">
                  <c:v>42874</c:v>
                </c:pt>
                <c:pt idx="25">
                  <c:v>42873</c:v>
                </c:pt>
                <c:pt idx="26">
                  <c:v>42872</c:v>
                </c:pt>
              </c:numCache>
            </c:numRef>
          </c:cat>
          <c:val>
            <c:numRef>
              <c:f>MACD!$F$2:$F$37</c:f>
              <c:numCache>
                <c:formatCode>General</c:formatCode>
                <c:ptCount val="36"/>
                <c:pt idx="0">
                  <c:v>370.61208929103168</c:v>
                </c:pt>
                <c:pt idx="1">
                  <c:v>368.27792370758289</c:v>
                </c:pt>
                <c:pt idx="2">
                  <c:v>365.67209165441619</c:v>
                </c:pt>
                <c:pt idx="3">
                  <c:v>363.7215628643101</c:v>
                </c:pt>
                <c:pt idx="4">
                  <c:v>362.17275611236653</c:v>
                </c:pt>
                <c:pt idx="5">
                  <c:v>360.78598449643312</c:v>
                </c:pt>
                <c:pt idx="6">
                  <c:v>358.85616349578464</c:v>
                </c:pt>
                <c:pt idx="7">
                  <c:v>355.85910231320003</c:v>
                </c:pt>
                <c:pt idx="8">
                  <c:v>351.34984818832726</c:v>
                </c:pt>
                <c:pt idx="9">
                  <c:v>346.87709331347764</c:v>
                </c:pt>
                <c:pt idx="10">
                  <c:v>344.67111027956452</c:v>
                </c:pt>
                <c:pt idx="11">
                  <c:v>342.37131214857624</c:v>
                </c:pt>
                <c:pt idx="12">
                  <c:v>337.34791435740829</c:v>
                </c:pt>
                <c:pt idx="13">
                  <c:v>333.29298969511888</c:v>
                </c:pt>
                <c:pt idx="14">
                  <c:v>329.73716963968593</c:v>
                </c:pt>
                <c:pt idx="15">
                  <c:v>326.5402913923561</c:v>
                </c:pt>
                <c:pt idx="16">
                  <c:v>324.12034437278447</c:v>
                </c:pt>
                <c:pt idx="17">
                  <c:v>321.16586153147256</c:v>
                </c:pt>
                <c:pt idx="18">
                  <c:v>317.55783635537665</c:v>
                </c:pt>
                <c:pt idx="19">
                  <c:v>314.36835205635418</c:v>
                </c:pt>
                <c:pt idx="20">
                  <c:v>312.40987061205493</c:v>
                </c:pt>
                <c:pt idx="21">
                  <c:v>311.60621072333771</c:v>
                </c:pt>
                <c:pt idx="22">
                  <c:v>311.85824903667179</c:v>
                </c:pt>
                <c:pt idx="23">
                  <c:v>313.31247613424847</c:v>
                </c:pt>
                <c:pt idx="24">
                  <c:v>313.85110815865727</c:v>
                </c:pt>
                <c:pt idx="25">
                  <c:v>314.40040055114042</c:v>
                </c:pt>
                <c:pt idx="26">
                  <c:v>314.64410974225689</c:v>
                </c:pt>
                <c:pt idx="27">
                  <c:v>316.1957660590308</c:v>
                </c:pt>
                <c:pt idx="28">
                  <c:v>316.04772352430911</c:v>
                </c:pt>
                <c:pt idx="29">
                  <c:v>316.07821871054716</c:v>
                </c:pt>
                <c:pt idx="30">
                  <c:v>314.49062211246485</c:v>
                </c:pt>
                <c:pt idx="31">
                  <c:v>312.92528067836759</c:v>
                </c:pt>
                <c:pt idx="32">
                  <c:v>310.68987716534355</c:v>
                </c:pt>
                <c:pt idx="33">
                  <c:v>308.75000028631513</c:v>
                </c:pt>
                <c:pt idx="34">
                  <c:v>309.06818215655426</c:v>
                </c:pt>
                <c:pt idx="35">
                  <c:v>309.19876073047323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lt1">
                  <a:lumMod val="95000"/>
                  <a:alpha val="54000"/>
                </a:schemeClr>
              </a:solidFill>
              <a:prstDash val="dash"/>
            </a:ln>
            <a:effectLst/>
          </c:spPr>
        </c:dropLines>
        <c:smooth val="0"/>
        <c:axId val="379711032"/>
        <c:axId val="379714952"/>
      </c:lineChart>
      <c:dateAx>
        <c:axId val="379711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14952"/>
        <c:crosses val="autoZero"/>
        <c:auto val="0"/>
        <c:lblOffset val="100"/>
        <c:baseTimeUnit val="days"/>
      </c:dateAx>
      <c:valAx>
        <c:axId val="37971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Closing Price  Moving Avg ($)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1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MACD vs Avg MACD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MACD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  <c:pt idx="14">
                  <c:v>42891</c:v>
                </c:pt>
                <c:pt idx="15">
                  <c:v>42888</c:v>
                </c:pt>
                <c:pt idx="16">
                  <c:v>42887</c:v>
                </c:pt>
                <c:pt idx="17">
                  <c:v>42886</c:v>
                </c:pt>
                <c:pt idx="18">
                  <c:v>42885</c:v>
                </c:pt>
                <c:pt idx="19">
                  <c:v>42881</c:v>
                </c:pt>
                <c:pt idx="20">
                  <c:v>42880</c:v>
                </c:pt>
                <c:pt idx="21">
                  <c:v>42879</c:v>
                </c:pt>
                <c:pt idx="22">
                  <c:v>42878</c:v>
                </c:pt>
                <c:pt idx="23">
                  <c:v>42877</c:v>
                </c:pt>
                <c:pt idx="24">
                  <c:v>42874</c:v>
                </c:pt>
                <c:pt idx="25">
                  <c:v>42873</c:v>
                </c:pt>
              </c:numCache>
            </c:numRef>
          </c:cat>
          <c:val>
            <c:numRef>
              <c:f>MACD!$G$2:$G$27</c:f>
              <c:numCache>
                <c:formatCode>General</c:formatCode>
                <c:ptCount val="26"/>
                <c:pt idx="0">
                  <c:v>15.184134464424801</c:v>
                </c:pt>
                <c:pt idx="1">
                  <c:v>15.091732494847463</c:v>
                </c:pt>
                <c:pt idx="2">
                  <c:v>14.839805144661966</c:v>
                </c:pt>
                <c:pt idx="3">
                  <c:v>14.934693433775578</c:v>
                </c:pt>
                <c:pt idx="4">
                  <c:v>15.262137127389224</c:v>
                </c:pt>
                <c:pt idx="5">
                  <c:v>15.706515992657671</c:v>
                </c:pt>
                <c:pt idx="6">
                  <c:v>15.882337511707192</c:v>
                </c:pt>
                <c:pt idx="7">
                  <c:v>15.474570250396368</c:v>
                </c:pt>
                <c:pt idx="8">
                  <c:v>14.187353560499332</c:v>
                </c:pt>
                <c:pt idx="9">
                  <c:v>12.817599115423491</c:v>
                </c:pt>
                <c:pt idx="10">
                  <c:v>12.607656545666089</c:v>
                </c:pt>
                <c:pt idx="11">
                  <c:v>12.328382115965951</c:v>
                </c:pt>
                <c:pt idx="12">
                  <c:v>10.501549922189156</c:v>
                </c:pt>
                <c:pt idx="13">
                  <c:v>9.0709161050822331</c:v>
                </c:pt>
                <c:pt idx="14">
                  <c:v>7.8053301624463529</c:v>
                </c:pt>
                <c:pt idx="15">
                  <c:v>6.6395047569372991</c:v>
                </c:pt>
                <c:pt idx="16">
                  <c:v>5.8154948065321719</c:v>
                </c:pt>
                <c:pt idx="17">
                  <c:v>4.6262239999201142</c:v>
                </c:pt>
                <c:pt idx="18">
                  <c:v>2.9758278213000153</c:v>
                </c:pt>
                <c:pt idx="19">
                  <c:v>1.4277828395514121</c:v>
                </c:pt>
                <c:pt idx="20">
                  <c:v>0.4452558579079664</c:v>
                </c:pt>
                <c:pt idx="21">
                  <c:v>3.0826788859030785E-2</c:v>
                </c:pt>
                <c:pt idx="22">
                  <c:v>0.17443438743481465</c:v>
                </c:pt>
                <c:pt idx="23">
                  <c:v>1.0027563130725525</c:v>
                </c:pt>
                <c:pt idx="24">
                  <c:v>1.3846107517872497</c:v>
                </c:pt>
                <c:pt idx="25">
                  <c:v>1.8029833517207976</c:v>
                </c:pt>
              </c:numCache>
            </c:numRef>
          </c:val>
          <c:smooth val="0"/>
        </c:ser>
        <c:ser>
          <c:idx val="1"/>
          <c:order val="1"/>
          <c:tx>
            <c:v>Avg MACD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MACD!$C$2:$C$27</c:f>
              <c:numCache>
                <c:formatCode>m/d/yyyy</c:formatCode>
                <c:ptCount val="26"/>
                <c:pt idx="0">
                  <c:v>42909</c:v>
                </c:pt>
                <c:pt idx="1">
                  <c:v>42908</c:v>
                </c:pt>
                <c:pt idx="2">
                  <c:v>42907</c:v>
                </c:pt>
                <c:pt idx="3">
                  <c:v>42906</c:v>
                </c:pt>
                <c:pt idx="4">
                  <c:v>42905</c:v>
                </c:pt>
                <c:pt idx="5">
                  <c:v>42902</c:v>
                </c:pt>
                <c:pt idx="6">
                  <c:v>42901</c:v>
                </c:pt>
                <c:pt idx="7">
                  <c:v>42900</c:v>
                </c:pt>
                <c:pt idx="8">
                  <c:v>42899</c:v>
                </c:pt>
                <c:pt idx="9">
                  <c:v>42898</c:v>
                </c:pt>
                <c:pt idx="10">
                  <c:v>42895</c:v>
                </c:pt>
                <c:pt idx="11">
                  <c:v>42894</c:v>
                </c:pt>
                <c:pt idx="12">
                  <c:v>42893</c:v>
                </c:pt>
                <c:pt idx="13">
                  <c:v>42892</c:v>
                </c:pt>
                <c:pt idx="14">
                  <c:v>42891</c:v>
                </c:pt>
                <c:pt idx="15">
                  <c:v>42888</c:v>
                </c:pt>
                <c:pt idx="16">
                  <c:v>42887</c:v>
                </c:pt>
                <c:pt idx="17">
                  <c:v>42886</c:v>
                </c:pt>
                <c:pt idx="18">
                  <c:v>42885</c:v>
                </c:pt>
                <c:pt idx="19">
                  <c:v>42881</c:v>
                </c:pt>
                <c:pt idx="20">
                  <c:v>42880</c:v>
                </c:pt>
                <c:pt idx="21">
                  <c:v>42879</c:v>
                </c:pt>
                <c:pt idx="22">
                  <c:v>42878</c:v>
                </c:pt>
                <c:pt idx="23">
                  <c:v>42877</c:v>
                </c:pt>
                <c:pt idx="24">
                  <c:v>42874</c:v>
                </c:pt>
                <c:pt idx="25">
                  <c:v>42873</c:v>
                </c:pt>
              </c:numCache>
            </c:numRef>
          </c:cat>
          <c:val>
            <c:numRef>
              <c:f>MACD!$H$2:$H$27</c:f>
              <c:numCache>
                <c:formatCode>General</c:formatCode>
                <c:ptCount val="26"/>
                <c:pt idx="0">
                  <c:v>14.526409813117928</c:v>
                </c:pt>
                <c:pt idx="1">
                  <c:v>14.13619443459829</c:v>
                </c:pt>
                <c:pt idx="2">
                  <c:v>13.634459735451188</c:v>
                </c:pt>
                <c:pt idx="3">
                  <c:v>13.04825348693322</c:v>
                </c:pt>
                <c:pt idx="4">
                  <c:v>12.356987763863364</c:v>
                </c:pt>
                <c:pt idx="5">
                  <c:v>11.569767570458609</c:v>
                </c:pt>
                <c:pt idx="6">
                  <c:v>10.646409904397146</c:v>
                </c:pt>
                <c:pt idx="7">
                  <c:v>9.5708674301965484</c:v>
                </c:pt>
                <c:pt idx="8">
                  <c:v>8.4003018126261342</c:v>
                </c:pt>
                <c:pt idx="9">
                  <c:v>7.2551270040768543</c:v>
                </c:pt>
                <c:pt idx="10">
                  <c:v>6.1895626435298157</c:v>
                </c:pt>
                <c:pt idx="11">
                  <c:v>5.1534607970105428</c:v>
                </c:pt>
                <c:pt idx="12">
                  <c:v>4.2096586467694266</c:v>
                </c:pt>
                <c:pt idx="13">
                  <c:v>3.4499137159026012</c:v>
                </c:pt>
                <c:pt idx="14">
                  <c:v>2.8442526531224814</c:v>
                </c:pt>
                <c:pt idx="15">
                  <c:v>2.3674500701589238</c:v>
                </c:pt>
                <c:pt idx="16">
                  <c:v>2.0741015602164574</c:v>
                </c:pt>
                <c:pt idx="17">
                  <c:v>1.8633073787715897</c:v>
                </c:pt>
                <c:pt idx="18">
                  <c:v>1.7749486374301284</c:v>
                </c:pt>
                <c:pt idx="19">
                  <c:v>1.7738078637553183</c:v>
                </c:pt>
                <c:pt idx="20">
                  <c:v>1.8483691618830373</c:v>
                </c:pt>
                <c:pt idx="21">
                  <c:v>1.9159723339871466</c:v>
                </c:pt>
                <c:pt idx="22">
                  <c:v>1.9359603003117247</c:v>
                </c:pt>
                <c:pt idx="23">
                  <c:v>1.9606340032645118</c:v>
                </c:pt>
                <c:pt idx="24">
                  <c:v>1.9255113380161599</c:v>
                </c:pt>
                <c:pt idx="25">
                  <c:v>1.9790140015765161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>
              <a:solidFill>
                <a:schemeClr val="lt1">
                  <a:lumMod val="95000"/>
                  <a:alpha val="54000"/>
                </a:schemeClr>
              </a:solidFill>
              <a:prstDash val="dash"/>
            </a:ln>
            <a:effectLst/>
          </c:spPr>
        </c:dropLines>
        <c:smooth val="0"/>
        <c:axId val="379709464"/>
        <c:axId val="386020800"/>
      </c:lineChart>
      <c:dateAx>
        <c:axId val="37970946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20800"/>
        <c:crosses val="autoZero"/>
        <c:auto val="1"/>
        <c:lblOffset val="100"/>
        <c:baseTimeUnit val="days"/>
        <c:majorUnit val="7"/>
        <c:majorTimeUnit val="days"/>
      </c:dateAx>
      <c:valAx>
        <c:axId val="38602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0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0</xdr:row>
      <xdr:rowOff>47625</xdr:rowOff>
    </xdr:from>
    <xdr:to>
      <xdr:col>16</xdr:col>
      <xdr:colOff>66675</xdr:colOff>
      <xdr:row>14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309562</xdr:colOff>
      <xdr:row>15</xdr:row>
      <xdr:rowOff>76200</xdr:rowOff>
    </xdr:from>
    <xdr:to>
      <xdr:col>16</xdr:col>
      <xdr:colOff>4762</xdr:colOff>
      <xdr:row>30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12</xdr:row>
          <xdr:rowOff>19050</xdr:rowOff>
        </xdr:from>
        <xdr:to>
          <xdr:col>0</xdr:col>
          <xdr:colOff>1733550</xdr:colOff>
          <xdr:row>15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MACD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0"/>
  <sheetViews>
    <sheetView tabSelected="1" workbookViewId="0">
      <selection activeCell="E4" sqref="E4"/>
    </sheetView>
  </sheetViews>
  <sheetFormatPr defaultRowHeight="15" x14ac:dyDescent="0.25"/>
  <cols>
    <col min="1" max="1" width="20.5703125" customWidth="1"/>
    <col min="2" max="2" width="1.7109375" customWidth="1"/>
    <col min="3" max="3" width="18.140625" customWidth="1"/>
    <col min="4" max="4" width="16.7109375" bestFit="1" customWidth="1"/>
    <col min="5" max="6" width="12" bestFit="1" customWidth="1"/>
    <col min="8" max="8" width="12" bestFit="1" customWidth="1"/>
  </cols>
  <sheetData>
    <row r="1" spans="1:8" x14ac:dyDescent="0.25">
      <c r="A1" t="s">
        <v>5</v>
      </c>
      <c r="C1" t="str">
        <f>_xll.QSERIES({"WIKI/TSLA/DATE","WIKI/TSLA/CLOSE"},,"daily","desc",,52)</f>
        <v>DATE</v>
      </c>
      <c r="D1" t="s">
        <v>8</v>
      </c>
      <c r="E1" t="s">
        <v>1</v>
      </c>
      <c r="F1" t="s">
        <v>2</v>
      </c>
      <c r="G1" t="s">
        <v>0</v>
      </c>
      <c r="H1" t="s">
        <v>6</v>
      </c>
    </row>
    <row r="2" spans="1:8" x14ac:dyDescent="0.25">
      <c r="A2" t="s">
        <v>7</v>
      </c>
      <c r="C2" s="1">
        <v>42909</v>
      </c>
      <c r="D2">
        <v>383.45</v>
      </c>
      <c r="E2">
        <f t="shared" ref="E2:E51" si="0">$D2*2/27+ $E3*(1-2/27)</f>
        <v>355.42795482660688</v>
      </c>
      <c r="F2">
        <f t="shared" ref="F2:F51" si="1">$D2*2/13+ $F3*(1-2/13)</f>
        <v>370.61208929103168</v>
      </c>
      <c r="G2">
        <f>$F2-$E2</f>
        <v>15.184134464424801</v>
      </c>
      <c r="H2">
        <f>AVERAGE($G2:$G13)</f>
        <v>14.526409813117928</v>
      </c>
    </row>
    <row r="3" spans="1:8" x14ac:dyDescent="0.25">
      <c r="C3" s="1">
        <v>42908</v>
      </c>
      <c r="D3">
        <v>382.61</v>
      </c>
      <c r="E3">
        <f t="shared" si="0"/>
        <v>353.18619121273542</v>
      </c>
      <c r="F3">
        <f t="shared" si="1"/>
        <v>368.27792370758289</v>
      </c>
      <c r="G3">
        <f t="shared" ref="G3:G53" si="2">$F3-$E3</f>
        <v>15.091732494847463</v>
      </c>
      <c r="H3">
        <f t="shared" ref="H3:H41" si="3">AVERAGE($G3:$G14)</f>
        <v>14.13619443459829</v>
      </c>
    </row>
    <row r="4" spans="1:8" x14ac:dyDescent="0.25">
      <c r="A4" t="s">
        <v>3</v>
      </c>
      <c r="C4" s="1">
        <v>42907</v>
      </c>
      <c r="D4">
        <v>376.4</v>
      </c>
      <c r="E4">
        <f t="shared" si="0"/>
        <v>350.83228650975423</v>
      </c>
      <c r="F4">
        <f t="shared" si="1"/>
        <v>365.67209165441619</v>
      </c>
      <c r="G4">
        <f t="shared" si="2"/>
        <v>14.839805144661966</v>
      </c>
      <c r="H4">
        <f t="shared" si="3"/>
        <v>13.634459735451188</v>
      </c>
    </row>
    <row r="5" spans="1:8" x14ac:dyDescent="0.25">
      <c r="A5">
        <v>26</v>
      </c>
      <c r="C5" s="1">
        <v>42906</v>
      </c>
      <c r="D5">
        <v>372.24</v>
      </c>
      <c r="E5">
        <f t="shared" si="0"/>
        <v>348.78686943053452</v>
      </c>
      <c r="F5">
        <f t="shared" si="1"/>
        <v>363.7215628643101</v>
      </c>
      <c r="G5">
        <f t="shared" si="2"/>
        <v>14.934693433775578</v>
      </c>
      <c r="H5">
        <f t="shared" si="3"/>
        <v>13.04825348693322</v>
      </c>
    </row>
    <row r="6" spans="1:8" x14ac:dyDescent="0.25">
      <c r="C6" s="1">
        <v>42905</v>
      </c>
      <c r="D6">
        <v>369.8</v>
      </c>
      <c r="E6">
        <f t="shared" si="0"/>
        <v>346.9106189849773</v>
      </c>
      <c r="F6">
        <f t="shared" si="1"/>
        <v>362.17275611236653</v>
      </c>
      <c r="G6">
        <f t="shared" si="2"/>
        <v>15.262137127389224</v>
      </c>
      <c r="H6">
        <f t="shared" si="3"/>
        <v>12.356987763863364</v>
      </c>
    </row>
    <row r="7" spans="1:8" x14ac:dyDescent="0.25">
      <c r="A7" t="s">
        <v>4</v>
      </c>
      <c r="C7" s="1">
        <v>42902</v>
      </c>
      <c r="D7">
        <v>371.4</v>
      </c>
      <c r="E7">
        <f t="shared" si="0"/>
        <v>345.07946850377544</v>
      </c>
      <c r="F7">
        <f t="shared" si="1"/>
        <v>360.78598449643312</v>
      </c>
      <c r="G7">
        <f t="shared" si="2"/>
        <v>15.706515992657671</v>
      </c>
      <c r="H7">
        <f t="shared" si="3"/>
        <v>11.569767570458609</v>
      </c>
    </row>
    <row r="8" spans="1:8" x14ac:dyDescent="0.25">
      <c r="A8">
        <v>12</v>
      </c>
      <c r="C8" s="1">
        <v>42901</v>
      </c>
      <c r="D8">
        <v>375.34</v>
      </c>
      <c r="E8">
        <f t="shared" si="0"/>
        <v>342.97382598407745</v>
      </c>
      <c r="F8">
        <f t="shared" si="1"/>
        <v>358.85616349578464</v>
      </c>
      <c r="G8">
        <f t="shared" si="2"/>
        <v>15.882337511707192</v>
      </c>
      <c r="H8">
        <f t="shared" si="3"/>
        <v>10.646409904397146</v>
      </c>
    </row>
    <row r="9" spans="1:8" x14ac:dyDescent="0.25">
      <c r="C9" s="1">
        <v>42900</v>
      </c>
      <c r="D9">
        <v>380.66</v>
      </c>
      <c r="E9">
        <f t="shared" si="0"/>
        <v>340.38453206280366</v>
      </c>
      <c r="F9">
        <f t="shared" si="1"/>
        <v>355.85910231320003</v>
      </c>
      <c r="G9">
        <f t="shared" si="2"/>
        <v>15.474570250396368</v>
      </c>
      <c r="H9">
        <f t="shared" si="3"/>
        <v>9.5708674301965484</v>
      </c>
    </row>
    <row r="10" spans="1:8" x14ac:dyDescent="0.25">
      <c r="C10" s="1">
        <v>42899</v>
      </c>
      <c r="D10">
        <v>375.95</v>
      </c>
      <c r="E10">
        <f t="shared" si="0"/>
        <v>337.16249462782793</v>
      </c>
      <c r="F10">
        <f t="shared" si="1"/>
        <v>351.34984818832726</v>
      </c>
      <c r="G10">
        <f t="shared" si="2"/>
        <v>14.187353560499332</v>
      </c>
      <c r="H10">
        <f t="shared" si="3"/>
        <v>8.4003018126261342</v>
      </c>
    </row>
    <row r="11" spans="1:8" x14ac:dyDescent="0.25">
      <c r="C11" s="1">
        <v>42898</v>
      </c>
      <c r="D11">
        <v>359.01</v>
      </c>
      <c r="E11">
        <f t="shared" si="0"/>
        <v>334.05949419805415</v>
      </c>
      <c r="F11">
        <f t="shared" si="1"/>
        <v>346.87709331347764</v>
      </c>
      <c r="G11">
        <f t="shared" si="2"/>
        <v>12.817599115423491</v>
      </c>
      <c r="H11">
        <f t="shared" si="3"/>
        <v>7.2551270040768543</v>
      </c>
    </row>
    <row r="12" spans="1:8" x14ac:dyDescent="0.25">
      <c r="C12" s="1">
        <v>42895</v>
      </c>
      <c r="D12">
        <v>357.32</v>
      </c>
      <c r="E12">
        <f t="shared" si="0"/>
        <v>332.06345373389843</v>
      </c>
      <c r="F12">
        <f t="shared" si="1"/>
        <v>344.67111027956452</v>
      </c>
      <c r="G12">
        <f t="shared" si="2"/>
        <v>12.607656545666089</v>
      </c>
      <c r="H12">
        <f t="shared" si="3"/>
        <v>6.1895626435298157</v>
      </c>
    </row>
    <row r="13" spans="1:8" x14ac:dyDescent="0.25">
      <c r="A13" s="1"/>
      <c r="C13" s="1">
        <v>42894</v>
      </c>
      <c r="D13">
        <v>370</v>
      </c>
      <c r="E13">
        <f t="shared" si="0"/>
        <v>330.04293003261029</v>
      </c>
      <c r="F13">
        <f t="shared" si="1"/>
        <v>342.37131214857624</v>
      </c>
      <c r="G13">
        <f t="shared" si="2"/>
        <v>12.328382115965951</v>
      </c>
      <c r="H13">
        <f t="shared" si="3"/>
        <v>5.1534607970105428</v>
      </c>
    </row>
    <row r="14" spans="1:8" x14ac:dyDescent="0.25">
      <c r="C14" s="1">
        <v>42893</v>
      </c>
      <c r="D14">
        <v>359.65</v>
      </c>
      <c r="E14">
        <f t="shared" si="0"/>
        <v>326.84636443521913</v>
      </c>
      <c r="F14">
        <f t="shared" si="1"/>
        <v>337.34791435740829</v>
      </c>
      <c r="G14">
        <f t="shared" si="2"/>
        <v>10.501549922189156</v>
      </c>
      <c r="H14">
        <f t="shared" si="3"/>
        <v>4.2096586467694266</v>
      </c>
    </row>
    <row r="15" spans="1:8" x14ac:dyDescent="0.25">
      <c r="C15" s="1">
        <v>42892</v>
      </c>
      <c r="D15">
        <v>352.85</v>
      </c>
      <c r="E15">
        <f t="shared" si="0"/>
        <v>324.22207359003664</v>
      </c>
      <c r="F15">
        <f t="shared" si="1"/>
        <v>333.29298969511888</v>
      </c>
      <c r="G15">
        <f t="shared" si="2"/>
        <v>9.0709161050822331</v>
      </c>
      <c r="H15">
        <f t="shared" si="3"/>
        <v>3.4499137159026012</v>
      </c>
    </row>
    <row r="16" spans="1:8" x14ac:dyDescent="0.25">
      <c r="C16" s="1">
        <v>42891</v>
      </c>
      <c r="D16">
        <v>347.32</v>
      </c>
      <c r="E16">
        <f t="shared" si="0"/>
        <v>321.93183947723958</v>
      </c>
      <c r="F16">
        <f t="shared" si="1"/>
        <v>329.73716963968593</v>
      </c>
      <c r="G16">
        <f t="shared" si="2"/>
        <v>7.8053301624463529</v>
      </c>
      <c r="H16">
        <f t="shared" si="3"/>
        <v>2.8442526531224814</v>
      </c>
    </row>
    <row r="17" spans="1:8" x14ac:dyDescent="0.25">
      <c r="C17" s="1">
        <v>42888</v>
      </c>
      <c r="D17">
        <v>339.85</v>
      </c>
      <c r="E17">
        <f t="shared" si="0"/>
        <v>319.9007866354188</v>
      </c>
      <c r="F17">
        <f t="shared" si="1"/>
        <v>326.5402913923561</v>
      </c>
      <c r="G17">
        <f t="shared" si="2"/>
        <v>6.6395047569372991</v>
      </c>
      <c r="H17">
        <f t="shared" si="3"/>
        <v>2.3674500701589238</v>
      </c>
    </row>
    <row r="18" spans="1:8" x14ac:dyDescent="0.25">
      <c r="C18" s="1">
        <v>42887</v>
      </c>
      <c r="D18">
        <v>340.37</v>
      </c>
      <c r="E18">
        <f t="shared" si="0"/>
        <v>318.3048495662523</v>
      </c>
      <c r="F18">
        <f t="shared" si="1"/>
        <v>324.12034437278447</v>
      </c>
      <c r="G18">
        <f t="shared" si="2"/>
        <v>5.8154948065321719</v>
      </c>
      <c r="H18">
        <f t="shared" si="3"/>
        <v>2.0741015602164574</v>
      </c>
    </row>
    <row r="19" spans="1:8" x14ac:dyDescent="0.25">
      <c r="C19" s="1">
        <v>42886</v>
      </c>
      <c r="D19">
        <v>341.01</v>
      </c>
      <c r="E19">
        <f t="shared" si="0"/>
        <v>316.53963753155244</v>
      </c>
      <c r="F19">
        <f t="shared" si="1"/>
        <v>321.16586153147256</v>
      </c>
      <c r="G19">
        <f t="shared" si="2"/>
        <v>4.6262239999201142</v>
      </c>
      <c r="H19">
        <f t="shared" si="3"/>
        <v>1.8633073787715897</v>
      </c>
    </row>
    <row r="20" spans="1:8" x14ac:dyDescent="0.25">
      <c r="C20" s="1">
        <v>42885</v>
      </c>
      <c r="D20">
        <v>335.1</v>
      </c>
      <c r="E20">
        <f t="shared" si="0"/>
        <v>314.58200853407664</v>
      </c>
      <c r="F20">
        <f t="shared" si="1"/>
        <v>317.55783635537665</v>
      </c>
      <c r="G20">
        <f t="shared" si="2"/>
        <v>2.9758278213000153</v>
      </c>
      <c r="H20">
        <f t="shared" si="3"/>
        <v>1.7749486374301284</v>
      </c>
    </row>
    <row r="21" spans="1:8" x14ac:dyDescent="0.25">
      <c r="C21" s="1">
        <v>42881</v>
      </c>
      <c r="D21">
        <v>325.14</v>
      </c>
      <c r="E21">
        <f t="shared" si="0"/>
        <v>312.94056921680277</v>
      </c>
      <c r="F21">
        <f t="shared" si="1"/>
        <v>314.36835205635418</v>
      </c>
      <c r="G21">
        <f t="shared" si="2"/>
        <v>1.4277828395514121</v>
      </c>
      <c r="H21">
        <f t="shared" si="3"/>
        <v>1.7738078637553183</v>
      </c>
    </row>
    <row r="22" spans="1:8" x14ac:dyDescent="0.25">
      <c r="A22" s="1"/>
      <c r="C22" s="1">
        <v>42880</v>
      </c>
      <c r="D22">
        <v>316.83</v>
      </c>
      <c r="E22">
        <f t="shared" si="0"/>
        <v>311.96461475414696</v>
      </c>
      <c r="F22">
        <f t="shared" si="1"/>
        <v>312.40987061205493</v>
      </c>
      <c r="G22">
        <f t="shared" si="2"/>
        <v>0.4452558579079664</v>
      </c>
      <c r="H22">
        <f t="shared" si="3"/>
        <v>1.8483691618830373</v>
      </c>
    </row>
    <row r="23" spans="1:8" x14ac:dyDescent="0.25">
      <c r="C23" s="1">
        <v>42879</v>
      </c>
      <c r="D23">
        <v>310.22000000000003</v>
      </c>
      <c r="E23">
        <f t="shared" si="0"/>
        <v>311.57538393447868</v>
      </c>
      <c r="F23">
        <f t="shared" si="1"/>
        <v>311.60621072333771</v>
      </c>
      <c r="G23">
        <f t="shared" si="2"/>
        <v>3.0826788859030785E-2</v>
      </c>
      <c r="H23">
        <f t="shared" si="3"/>
        <v>1.9159723339871466</v>
      </c>
    </row>
    <row r="24" spans="1:8" x14ac:dyDescent="0.25">
      <c r="C24" s="1">
        <v>42878</v>
      </c>
      <c r="D24">
        <v>303.86</v>
      </c>
      <c r="E24">
        <f t="shared" si="0"/>
        <v>311.68381464923698</v>
      </c>
      <c r="F24">
        <f t="shared" si="1"/>
        <v>311.85824903667179</v>
      </c>
      <c r="G24">
        <f t="shared" si="2"/>
        <v>0.17443438743481465</v>
      </c>
      <c r="H24">
        <f t="shared" si="3"/>
        <v>1.9359603003117247</v>
      </c>
    </row>
    <row r="25" spans="1:8" x14ac:dyDescent="0.25">
      <c r="C25" s="1">
        <v>42877</v>
      </c>
      <c r="D25">
        <v>310.35000000000002</v>
      </c>
      <c r="E25">
        <f t="shared" si="0"/>
        <v>312.30971982117592</v>
      </c>
      <c r="F25">
        <f t="shared" si="1"/>
        <v>313.31247613424847</v>
      </c>
      <c r="G25">
        <f t="shared" si="2"/>
        <v>1.0027563130725525</v>
      </c>
      <c r="H25">
        <f t="shared" si="3"/>
        <v>1.9606340032645118</v>
      </c>
    </row>
    <row r="26" spans="1:8" x14ac:dyDescent="0.25">
      <c r="C26" s="1">
        <v>42874</v>
      </c>
      <c r="D26">
        <v>310.83</v>
      </c>
      <c r="E26">
        <f t="shared" si="0"/>
        <v>312.46649740687002</v>
      </c>
      <c r="F26">
        <f t="shared" si="1"/>
        <v>313.85110815865727</v>
      </c>
      <c r="G26">
        <f t="shared" si="2"/>
        <v>1.3846107517872497</v>
      </c>
      <c r="H26">
        <f t="shared" si="3"/>
        <v>1.9255113380161599</v>
      </c>
    </row>
    <row r="27" spans="1:8" x14ac:dyDescent="0.25">
      <c r="A27" s="2"/>
      <c r="C27" s="1">
        <v>42873</v>
      </c>
      <c r="D27">
        <v>313.06</v>
      </c>
      <c r="E27">
        <f t="shared" si="0"/>
        <v>312.59741719941962</v>
      </c>
      <c r="F27">
        <f t="shared" si="1"/>
        <v>314.40040055114042</v>
      </c>
      <c r="G27">
        <f t="shared" si="2"/>
        <v>1.8029833517207976</v>
      </c>
      <c r="H27">
        <f t="shared" si="3"/>
        <v>1.9790140015765161</v>
      </c>
    </row>
    <row r="28" spans="1:8" x14ac:dyDescent="0.25">
      <c r="A28" s="1"/>
      <c r="C28" s="1">
        <v>42872</v>
      </c>
      <c r="D28">
        <v>306.11</v>
      </c>
      <c r="E28">
        <f t="shared" si="0"/>
        <v>312.56041057537323</v>
      </c>
      <c r="F28">
        <f t="shared" si="1"/>
        <v>314.64410974225689</v>
      </c>
      <c r="G28">
        <f t="shared" si="2"/>
        <v>2.0836991668836617</v>
      </c>
      <c r="H28">
        <f t="shared" si="3"/>
        <v>2.019068712740316</v>
      </c>
    </row>
    <row r="29" spans="1:8" x14ac:dyDescent="0.25">
      <c r="A29" s="1"/>
      <c r="C29" s="1">
        <v>42871</v>
      </c>
      <c r="D29">
        <v>317.01</v>
      </c>
      <c r="E29">
        <f t="shared" si="0"/>
        <v>313.0764434214031</v>
      </c>
      <c r="F29">
        <f t="shared" si="1"/>
        <v>316.1957660590308</v>
      </c>
      <c r="G29">
        <f t="shared" si="2"/>
        <v>3.1193226376277039</v>
      </c>
      <c r="H29">
        <f t="shared" si="3"/>
        <v>1.9913581506828564</v>
      </c>
    </row>
    <row r="30" spans="1:8" x14ac:dyDescent="0.25">
      <c r="A30" s="1"/>
      <c r="C30" s="1">
        <v>42870</v>
      </c>
      <c r="D30">
        <v>315.88</v>
      </c>
      <c r="E30">
        <f t="shared" si="0"/>
        <v>312.76175889511535</v>
      </c>
      <c r="F30">
        <f t="shared" si="1"/>
        <v>316.04772352430911</v>
      </c>
      <c r="G30">
        <f t="shared" si="2"/>
        <v>3.2859646291937565</v>
      </c>
      <c r="H30">
        <f t="shared" si="3"/>
        <v>1.7851575207983832</v>
      </c>
    </row>
    <row r="31" spans="1:8" x14ac:dyDescent="0.25">
      <c r="A31" s="1"/>
      <c r="C31" s="1">
        <v>42867</v>
      </c>
      <c r="D31">
        <v>324.81</v>
      </c>
      <c r="E31">
        <f t="shared" si="0"/>
        <v>312.51229960672458</v>
      </c>
      <c r="F31">
        <f t="shared" si="1"/>
        <v>316.07821871054716</v>
      </c>
      <c r="G31">
        <f t="shared" si="2"/>
        <v>3.5659191038225799</v>
      </c>
      <c r="H31">
        <f t="shared" si="3"/>
        <v>1.5215227892615009</v>
      </c>
    </row>
    <row r="32" spans="1:8" x14ac:dyDescent="0.25">
      <c r="A32" s="1"/>
      <c r="C32" s="1">
        <v>42866</v>
      </c>
      <c r="D32">
        <v>323.10000000000002</v>
      </c>
      <c r="E32">
        <f t="shared" si="0"/>
        <v>311.52848357526256</v>
      </c>
      <c r="F32">
        <f t="shared" si="1"/>
        <v>314.49062211246485</v>
      </c>
      <c r="G32">
        <f t="shared" si="2"/>
        <v>2.9621385372022928</v>
      </c>
      <c r="H32">
        <f t="shared" si="3"/>
        <v>1.2246250368015221</v>
      </c>
    </row>
    <row r="33" spans="1:8" x14ac:dyDescent="0.25">
      <c r="A33" s="1"/>
      <c r="C33" s="1">
        <v>42865</v>
      </c>
      <c r="D33">
        <v>325.22000000000003</v>
      </c>
      <c r="E33">
        <f t="shared" si="0"/>
        <v>310.60276226128354</v>
      </c>
      <c r="F33">
        <f t="shared" si="1"/>
        <v>312.92528067836759</v>
      </c>
      <c r="G33">
        <f t="shared" si="2"/>
        <v>2.3225184170840407</v>
      </c>
      <c r="H33">
        <f t="shared" si="3"/>
        <v>0.9520809958536679</v>
      </c>
    </row>
    <row r="34" spans="1:8" x14ac:dyDescent="0.25">
      <c r="A34" s="1"/>
      <c r="C34" s="1">
        <v>42864</v>
      </c>
      <c r="D34">
        <v>321.35919999999999</v>
      </c>
      <c r="E34">
        <f t="shared" si="0"/>
        <v>309.43338324218627</v>
      </c>
      <c r="F34">
        <f t="shared" si="1"/>
        <v>310.68987716534355</v>
      </c>
      <c r="G34">
        <f t="shared" si="2"/>
        <v>1.2564939231572794</v>
      </c>
      <c r="H34">
        <f t="shared" si="3"/>
        <v>0.66936118122537869</v>
      </c>
    </row>
    <row r="35" spans="1:8" x14ac:dyDescent="0.25">
      <c r="A35" s="1"/>
      <c r="C35" s="1">
        <v>42863</v>
      </c>
      <c r="D35">
        <v>307</v>
      </c>
      <c r="E35">
        <f t="shared" si="0"/>
        <v>308.47931790156116</v>
      </c>
      <c r="F35">
        <f t="shared" si="1"/>
        <v>308.75000028631513</v>
      </c>
      <c r="G35">
        <f t="shared" si="2"/>
        <v>0.27068238475396811</v>
      </c>
      <c r="H35">
        <f t="shared" si="3"/>
        <v>0.44462627337289956</v>
      </c>
    </row>
    <row r="36" spans="1:8" x14ac:dyDescent="0.25">
      <c r="A36" s="1"/>
      <c r="C36" s="1">
        <v>42860</v>
      </c>
      <c r="D36">
        <v>308.35000000000002</v>
      </c>
      <c r="E36">
        <f t="shared" si="0"/>
        <v>308.597663333686</v>
      </c>
      <c r="F36">
        <f t="shared" si="1"/>
        <v>309.06818215655426</v>
      </c>
      <c r="G36">
        <f t="shared" si="2"/>
        <v>0.4705188228682573</v>
      </c>
      <c r="H36">
        <f t="shared" si="3"/>
        <v>0.2850299421618227</v>
      </c>
    </row>
    <row r="37" spans="1:8" x14ac:dyDescent="0.25">
      <c r="A37" s="1"/>
      <c r="C37" s="1">
        <v>42859</v>
      </c>
      <c r="D37">
        <v>295.45999999999998</v>
      </c>
      <c r="E37">
        <f t="shared" si="0"/>
        <v>308.61747640038089</v>
      </c>
      <c r="F37">
        <f t="shared" si="1"/>
        <v>309.19876073047323</v>
      </c>
      <c r="G37">
        <f t="shared" si="2"/>
        <v>0.58128433009233049</v>
      </c>
      <c r="H37">
        <f t="shared" si="3"/>
        <v>0.11527806813611126</v>
      </c>
    </row>
    <row r="38" spans="1:8" x14ac:dyDescent="0.25">
      <c r="A38" s="1"/>
      <c r="C38" s="1">
        <v>42858</v>
      </c>
      <c r="D38">
        <v>310.76499999999999</v>
      </c>
      <c r="E38">
        <f t="shared" si="0"/>
        <v>309.67007451241136</v>
      </c>
      <c r="F38">
        <f t="shared" si="1"/>
        <v>311.69671722692289</v>
      </c>
      <c r="G38">
        <f t="shared" si="2"/>
        <v>2.0266427145115244</v>
      </c>
      <c r="H38">
        <f t="shared" si="3"/>
        <v>-7.9051701762916579E-2</v>
      </c>
    </row>
    <row r="39" spans="1:8" x14ac:dyDescent="0.25">
      <c r="A39" s="1"/>
      <c r="C39" s="1">
        <v>42857</v>
      </c>
      <c r="D39">
        <v>318.89</v>
      </c>
      <c r="E39">
        <f t="shared" si="0"/>
        <v>309.5824804734043</v>
      </c>
      <c r="F39">
        <f t="shared" si="1"/>
        <v>311.8661203590907</v>
      </c>
      <c r="G39">
        <f t="shared" si="2"/>
        <v>2.283639885686398</v>
      </c>
      <c r="H39">
        <f t="shared" si="3"/>
        <v>-0.36657973483263123</v>
      </c>
    </row>
    <row r="40" spans="1:8" x14ac:dyDescent="0.25">
      <c r="A40" s="1"/>
      <c r="C40" s="1">
        <v>42856</v>
      </c>
      <c r="D40">
        <v>322.83</v>
      </c>
      <c r="E40">
        <f t="shared" si="0"/>
        <v>308.83787891127668</v>
      </c>
      <c r="F40">
        <f t="shared" si="1"/>
        <v>310.58905133347082</v>
      </c>
      <c r="G40">
        <f t="shared" si="2"/>
        <v>1.7511724221941449</v>
      </c>
      <c r="H40">
        <f t="shared" si="3"/>
        <v>-0.64911677968647064</v>
      </c>
    </row>
    <row r="41" spans="1:8" x14ac:dyDescent="0.25">
      <c r="A41" s="1"/>
      <c r="C41" s="1">
        <v>42853</v>
      </c>
      <c r="D41">
        <v>314.0025</v>
      </c>
      <c r="E41">
        <f t="shared" si="0"/>
        <v>307.71850922417877</v>
      </c>
      <c r="F41">
        <f t="shared" si="1"/>
        <v>308.3634243031928</v>
      </c>
      <c r="G41">
        <f t="shared" si="2"/>
        <v>0.64491507901402656</v>
      </c>
      <c r="H41">
        <f t="shared" si="3"/>
        <v>-0.87395569711053156</v>
      </c>
    </row>
    <row r="42" spans="1:8" x14ac:dyDescent="0.25">
      <c r="A42" s="1"/>
      <c r="C42" s="1">
        <v>42852</v>
      </c>
      <c r="D42">
        <v>308.60500000000002</v>
      </c>
      <c r="E42">
        <f t="shared" si="0"/>
        <v>307.21578996211309</v>
      </c>
      <c r="F42">
        <f t="shared" si="1"/>
        <v>307.33813781286426</v>
      </c>
      <c r="G42">
        <f t="shared" si="2"/>
        <v>0.12234785075116861</v>
      </c>
    </row>
    <row r="43" spans="1:8" x14ac:dyDescent="0.25">
      <c r="A43" s="1"/>
      <c r="C43" s="1">
        <v>42851</v>
      </c>
      <c r="D43">
        <v>310.17</v>
      </c>
      <c r="E43">
        <f t="shared" si="0"/>
        <v>307.10465315908215</v>
      </c>
      <c r="F43">
        <f t="shared" si="1"/>
        <v>307.10779923338498</v>
      </c>
      <c r="G43">
        <f t="shared" si="2"/>
        <v>3.1460743028333127E-3</v>
      </c>
    </row>
    <row r="44" spans="1:8" x14ac:dyDescent="0.25">
      <c r="A44" s="1"/>
      <c r="C44" s="1">
        <v>42850</v>
      </c>
      <c r="D44">
        <v>313.79000000000002</v>
      </c>
      <c r="E44">
        <f t="shared" si="0"/>
        <v>306.85942541180873</v>
      </c>
      <c r="F44">
        <f t="shared" si="1"/>
        <v>306.55103545763677</v>
      </c>
      <c r="G44">
        <f t="shared" si="2"/>
        <v>-0.30838995417195747</v>
      </c>
    </row>
    <row r="45" spans="1:8" x14ac:dyDescent="0.25">
      <c r="A45" s="1"/>
      <c r="C45" s="1">
        <v>42849</v>
      </c>
      <c r="D45">
        <v>308.02999999999997</v>
      </c>
      <c r="E45">
        <f t="shared" si="0"/>
        <v>306.30497944475343</v>
      </c>
      <c r="F45">
        <f t="shared" si="1"/>
        <v>305.234860086298</v>
      </c>
      <c r="G45">
        <f t="shared" si="2"/>
        <v>-1.0701193584554289</v>
      </c>
    </row>
    <row r="46" spans="1:8" x14ac:dyDescent="0.25">
      <c r="A46" s="1"/>
      <c r="C46" s="1">
        <v>42846</v>
      </c>
      <c r="D46">
        <v>305.60000000000002</v>
      </c>
      <c r="E46">
        <f t="shared" si="0"/>
        <v>306.16697780033371</v>
      </c>
      <c r="F46">
        <f t="shared" si="1"/>
        <v>304.72665282926124</v>
      </c>
      <c r="G46">
        <f t="shared" si="2"/>
        <v>-1.4403249710724708</v>
      </c>
    </row>
    <row r="47" spans="1:8" x14ac:dyDescent="0.25">
      <c r="A47" s="1"/>
      <c r="C47" s="1">
        <v>42845</v>
      </c>
      <c r="D47">
        <v>302.51</v>
      </c>
      <c r="E47">
        <f t="shared" si="0"/>
        <v>306.21233602436041</v>
      </c>
      <c r="F47">
        <f t="shared" si="1"/>
        <v>304.56786243458146</v>
      </c>
      <c r="G47">
        <f t="shared" si="2"/>
        <v>-1.6444735897789542</v>
      </c>
    </row>
    <row r="48" spans="1:8" x14ac:dyDescent="0.25">
      <c r="A48" s="1"/>
      <c r="C48" s="1">
        <v>42844</v>
      </c>
      <c r="D48">
        <v>305.52</v>
      </c>
      <c r="E48">
        <f t="shared" si="0"/>
        <v>306.50852290630922</v>
      </c>
      <c r="F48">
        <f t="shared" si="1"/>
        <v>304.94201924086894</v>
      </c>
      <c r="G48">
        <f t="shared" si="2"/>
        <v>-1.5665036654402797</v>
      </c>
    </row>
    <row r="49" spans="1:7" x14ac:dyDescent="0.25">
      <c r="A49" s="1"/>
      <c r="C49" s="1">
        <v>42843</v>
      </c>
      <c r="D49">
        <v>300.25</v>
      </c>
      <c r="E49">
        <f t="shared" si="0"/>
        <v>306.58760473881392</v>
      </c>
      <c r="F49">
        <f t="shared" si="1"/>
        <v>304.83693183011792</v>
      </c>
      <c r="G49">
        <f t="shared" si="2"/>
        <v>-1.7506729086960036</v>
      </c>
    </row>
    <row r="50" spans="1:7" x14ac:dyDescent="0.25">
      <c r="A50" s="1"/>
      <c r="C50" s="1">
        <v>42842</v>
      </c>
      <c r="D50">
        <v>301.44</v>
      </c>
      <c r="E50">
        <f t="shared" si="0"/>
        <v>307.09461311791898</v>
      </c>
      <c r="F50">
        <f t="shared" si="1"/>
        <v>305.67091943559393</v>
      </c>
      <c r="G50">
        <f t="shared" si="2"/>
        <v>-1.4236936823250517</v>
      </c>
    </row>
    <row r="51" spans="1:7" x14ac:dyDescent="0.25">
      <c r="A51" s="1"/>
      <c r="C51" s="1">
        <v>42838</v>
      </c>
      <c r="D51">
        <v>304</v>
      </c>
      <c r="E51">
        <f t="shared" si="0"/>
        <v>307.5469821673525</v>
      </c>
      <c r="F51">
        <f t="shared" si="1"/>
        <v>306.44017751479282</v>
      </c>
      <c r="G51">
        <f t="shared" si="2"/>
        <v>-1.1068046525596742</v>
      </c>
    </row>
    <row r="52" spans="1:7" x14ac:dyDescent="0.25">
      <c r="A52" s="1"/>
      <c r="C52" s="1">
        <v>42837</v>
      </c>
      <c r="D52">
        <v>296.83999999999997</v>
      </c>
      <c r="E52">
        <f>$D52*2/27+ $E53*(1-2/27)</f>
        <v>307.83074074074068</v>
      </c>
      <c r="F52">
        <f>$D52*2/13+ $F53*(1-2/13)</f>
        <v>306.88384615384609</v>
      </c>
      <c r="G52">
        <f t="shared" si="2"/>
        <v>-0.94689458689458661</v>
      </c>
    </row>
    <row r="53" spans="1:7" x14ac:dyDescent="0.25">
      <c r="A53" s="1"/>
      <c r="C53" s="1">
        <v>42836</v>
      </c>
      <c r="D53">
        <v>308.70999999999998</v>
      </c>
      <c r="E53">
        <f>AVERAGE($D$53:$D$78)</f>
        <v>308.70999999999998</v>
      </c>
      <c r="F53">
        <f>AVERAGE($D$53:$D$64)</f>
        <v>308.70999999999998</v>
      </c>
      <c r="G53">
        <f t="shared" si="2"/>
        <v>0</v>
      </c>
    </row>
    <row r="54" spans="1:7" x14ac:dyDescent="0.25">
      <c r="A54" s="1"/>
    </row>
    <row r="55" spans="1:7" x14ac:dyDescent="0.25">
      <c r="A55" s="1"/>
    </row>
    <row r="56" spans="1:7" x14ac:dyDescent="0.25">
      <c r="A56" s="1"/>
    </row>
    <row r="57" spans="1:7" x14ac:dyDescent="0.25">
      <c r="A57" s="1"/>
    </row>
    <row r="58" spans="1:7" x14ac:dyDescent="0.25">
      <c r="A58" s="1"/>
      <c r="C58" s="1"/>
    </row>
    <row r="59" spans="1:7" x14ac:dyDescent="0.25">
      <c r="A59" s="1"/>
    </row>
    <row r="60" spans="1:7" x14ac:dyDescent="0.25">
      <c r="A60" s="1"/>
    </row>
    <row r="61" spans="1:7" x14ac:dyDescent="0.25">
      <c r="A61" s="1"/>
    </row>
    <row r="62" spans="1:7" x14ac:dyDescent="0.25">
      <c r="A62" s="1"/>
    </row>
    <row r="63" spans="1:7" x14ac:dyDescent="0.25">
      <c r="A63" s="1"/>
    </row>
    <row r="64" spans="1:7" x14ac:dyDescent="0.25">
      <c r="A64" s="1"/>
    </row>
    <row r="65" spans="1:3" x14ac:dyDescent="0.25">
      <c r="A65" s="1"/>
    </row>
    <row r="66" spans="1:3" x14ac:dyDescent="0.25">
      <c r="A66" s="1"/>
    </row>
    <row r="67" spans="1:3" x14ac:dyDescent="0.25">
      <c r="A67" s="1"/>
    </row>
    <row r="68" spans="1:3" x14ac:dyDescent="0.25">
      <c r="A68" s="1"/>
    </row>
    <row r="69" spans="1:3" x14ac:dyDescent="0.25">
      <c r="A69" s="1"/>
    </row>
    <row r="70" spans="1:3" x14ac:dyDescent="0.25">
      <c r="A70" s="1"/>
    </row>
    <row r="71" spans="1:3" x14ac:dyDescent="0.25">
      <c r="A71" s="1"/>
    </row>
    <row r="72" spans="1:3" x14ac:dyDescent="0.25">
      <c r="A72" s="1"/>
    </row>
    <row r="73" spans="1:3" x14ac:dyDescent="0.25">
      <c r="A73" s="1"/>
    </row>
    <row r="74" spans="1:3" x14ac:dyDescent="0.25">
      <c r="A74" s="1"/>
    </row>
    <row r="75" spans="1:3" x14ac:dyDescent="0.25">
      <c r="A75" s="1"/>
    </row>
    <row r="76" spans="1:3" x14ac:dyDescent="0.25">
      <c r="A76" s="1"/>
    </row>
    <row r="77" spans="1:3" x14ac:dyDescent="0.25">
      <c r="A77" s="1"/>
    </row>
    <row r="80" spans="1:3" x14ac:dyDescent="0.25">
      <c r="C80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CD_Analysis">
                <anchor moveWithCells="1" sizeWithCells="1">
                  <from>
                    <xdr:col>0</xdr:col>
                    <xdr:colOff>266700</xdr:colOff>
                    <xdr:row>12</xdr:row>
                    <xdr:rowOff>19050</xdr:rowOff>
                  </from>
                  <to>
                    <xdr:col>0</xdr:col>
                    <xdr:colOff>1733550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MACD</vt:lpstr>
      <vt:lpstr>AVG_MACD_Start</vt:lpstr>
      <vt:lpstr>DataLoad</vt:lpstr>
      <vt:lpstr>DATE</vt:lpstr>
      <vt:lpstr>LMA_Start</vt:lpstr>
      <vt:lpstr>LoadData</vt:lpstr>
      <vt:lpstr>LongTerm</vt:lpstr>
      <vt:lpstr>LongWindow</vt:lpstr>
      <vt:lpstr>MACD_Start</vt:lpstr>
      <vt:lpstr>ShortTerm</vt:lpstr>
      <vt:lpstr>SMA_Start</vt:lpstr>
      <vt:lpstr>Ticker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Williams</dc:creator>
  <cp:lastModifiedBy>Zach Williams</cp:lastModifiedBy>
  <dcterms:created xsi:type="dcterms:W3CDTF">2017-06-23T16:22:54Z</dcterms:created>
  <dcterms:modified xsi:type="dcterms:W3CDTF">2017-06-26T01:52:54Z</dcterms:modified>
</cp:coreProperties>
</file>