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ocuments\GitHub\technical_analysis\MACD\"/>
    </mc:Choice>
  </mc:AlternateContent>
  <bookViews>
    <workbookView xWindow="7440" yWindow="0" windowWidth="23070" windowHeight="9720"/>
  </bookViews>
  <sheets>
    <sheet name="MACD" sheetId="1" r:id="rId1"/>
  </sheets>
  <definedNames>
    <definedName name="AVG_MACD_Start">MACD!$H$2</definedName>
    <definedName name="DataLoad">MACD!$C$1</definedName>
    <definedName name="DataRange">OFFSET(MACD!$E$1,0,0,MACD!$A$5+1,2)</definedName>
    <definedName name="DATE">MACD!$C$1</definedName>
    <definedName name="DateRange">OFFSET(MACD!$C$1,0,0,MACD!$A$5+1,1)</definedName>
    <definedName name="LMA_Start">MACD!$E$2</definedName>
    <definedName name="LoadData">MACD!$C$1</definedName>
    <definedName name="LongTerm">MACD!$A$5</definedName>
    <definedName name="LongWindow">MACD!$A$5</definedName>
    <definedName name="MACD_Start">MACD!$G$2</definedName>
    <definedName name="ShortTerm">MACD!$A$8</definedName>
    <definedName name="SMA_Start">MACD!$F$2</definedName>
    <definedName name="Ticker">MACD!$A$2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1" l="1"/>
  <c r="F52" i="1" s="1"/>
  <c r="E53" i="1"/>
  <c r="E52" i="1" s="1"/>
  <c r="E51" i="1" s="1"/>
  <c r="E50" i="1" s="1"/>
  <c r="E49" i="1" s="1"/>
  <c r="E48" i="1" s="1"/>
  <c r="E47" i="1" s="1"/>
  <c r="E46" i="1" s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F51" i="1" l="1"/>
  <c r="G52" i="1"/>
  <c r="E26" i="1"/>
  <c r="J27" i="1"/>
  <c r="I27" i="1"/>
  <c r="G53" i="1"/>
  <c r="I201" i="1"/>
  <c r="J201" i="1"/>
  <c r="M2" i="1"/>
  <c r="C1" i="1"/>
  <c r="F50" i="1" l="1"/>
  <c r="G51" i="1"/>
  <c r="E25" i="1"/>
  <c r="I26" i="1"/>
  <c r="J26" i="1"/>
  <c r="J200" i="1"/>
  <c r="I200" i="1"/>
  <c r="E24" i="1" l="1"/>
  <c r="I25" i="1"/>
  <c r="J25" i="1"/>
  <c r="F49" i="1"/>
  <c r="G50" i="1"/>
  <c r="J199" i="1"/>
  <c r="I199" i="1"/>
  <c r="E23" i="1" l="1"/>
  <c r="J24" i="1"/>
  <c r="I24" i="1"/>
  <c r="F48" i="1"/>
  <c r="G49" i="1"/>
  <c r="J198" i="1"/>
  <c r="I198" i="1"/>
  <c r="E22" i="1" l="1"/>
  <c r="J23" i="1"/>
  <c r="I23" i="1"/>
  <c r="F47" i="1"/>
  <c r="G48" i="1"/>
  <c r="J197" i="1"/>
  <c r="I197" i="1"/>
  <c r="E21" i="1" l="1"/>
  <c r="I22" i="1"/>
  <c r="J22" i="1"/>
  <c r="F46" i="1"/>
  <c r="G47" i="1"/>
  <c r="J196" i="1"/>
  <c r="I196" i="1"/>
  <c r="E20" i="1" l="1"/>
  <c r="I21" i="1"/>
  <c r="J21" i="1"/>
  <c r="F45" i="1"/>
  <c r="G46" i="1"/>
  <c r="J195" i="1"/>
  <c r="I195" i="1"/>
  <c r="E19" i="1" l="1"/>
  <c r="J20" i="1"/>
  <c r="I20" i="1"/>
  <c r="F44" i="1"/>
  <c r="G45" i="1"/>
  <c r="I194" i="1"/>
  <c r="J194" i="1"/>
  <c r="E18" i="1" l="1"/>
  <c r="J19" i="1"/>
  <c r="I19" i="1"/>
  <c r="F43" i="1"/>
  <c r="G44" i="1"/>
  <c r="I193" i="1"/>
  <c r="J193" i="1"/>
  <c r="E17" i="1" l="1"/>
  <c r="I18" i="1"/>
  <c r="J18" i="1"/>
  <c r="F42" i="1"/>
  <c r="G43" i="1"/>
  <c r="J192" i="1"/>
  <c r="I192" i="1"/>
  <c r="E16" i="1" l="1"/>
  <c r="I17" i="1"/>
  <c r="J17" i="1"/>
  <c r="F41" i="1"/>
  <c r="G42" i="1"/>
  <c r="J191" i="1"/>
  <c r="I191" i="1"/>
  <c r="E15" i="1" l="1"/>
  <c r="J16" i="1"/>
  <c r="I16" i="1"/>
  <c r="F40" i="1"/>
  <c r="G41" i="1"/>
  <c r="H41" i="1" s="1"/>
  <c r="J190" i="1"/>
  <c r="I190" i="1"/>
  <c r="F39" i="1" l="1"/>
  <c r="G40" i="1"/>
  <c r="H40" i="1" s="1"/>
  <c r="E14" i="1"/>
  <c r="J15" i="1"/>
  <c r="I15" i="1"/>
  <c r="J189" i="1"/>
  <c r="I189" i="1"/>
  <c r="E13" i="1" l="1"/>
  <c r="I14" i="1"/>
  <c r="J14" i="1"/>
  <c r="F38" i="1"/>
  <c r="G39" i="1"/>
  <c r="H39" i="1" s="1"/>
  <c r="J188" i="1"/>
  <c r="I188" i="1"/>
  <c r="E12" i="1" l="1"/>
  <c r="I13" i="1"/>
  <c r="J13" i="1"/>
  <c r="F37" i="1"/>
  <c r="G38" i="1"/>
  <c r="H38" i="1" s="1"/>
  <c r="J187" i="1"/>
  <c r="I187" i="1"/>
  <c r="E11" i="1" l="1"/>
  <c r="J12" i="1"/>
  <c r="I12" i="1"/>
  <c r="F36" i="1"/>
  <c r="G37" i="1"/>
  <c r="H37" i="1" s="1"/>
  <c r="I186" i="1"/>
  <c r="J186" i="1"/>
  <c r="E10" i="1" l="1"/>
  <c r="J11" i="1"/>
  <c r="I11" i="1"/>
  <c r="F35" i="1"/>
  <c r="G36" i="1"/>
  <c r="H36" i="1" s="1"/>
  <c r="I185" i="1"/>
  <c r="J185" i="1"/>
  <c r="E9" i="1" l="1"/>
  <c r="I10" i="1"/>
  <c r="J10" i="1"/>
  <c r="F34" i="1"/>
  <c r="G35" i="1"/>
  <c r="H35" i="1" s="1"/>
  <c r="J184" i="1"/>
  <c r="I184" i="1"/>
  <c r="E8" i="1" l="1"/>
  <c r="I9" i="1"/>
  <c r="J9" i="1"/>
  <c r="F33" i="1"/>
  <c r="G34" i="1"/>
  <c r="H34" i="1" s="1"/>
  <c r="J183" i="1"/>
  <c r="I183" i="1"/>
  <c r="E7" i="1" l="1"/>
  <c r="J8" i="1"/>
  <c r="I8" i="1"/>
  <c r="F32" i="1"/>
  <c r="G33" i="1"/>
  <c r="H33" i="1" s="1"/>
  <c r="J182" i="1"/>
  <c r="I182" i="1"/>
  <c r="E6" i="1" l="1"/>
  <c r="J7" i="1"/>
  <c r="I7" i="1"/>
  <c r="F31" i="1"/>
  <c r="G32" i="1"/>
  <c r="H32" i="1" s="1"/>
  <c r="J181" i="1"/>
  <c r="I181" i="1"/>
  <c r="E5" i="1" l="1"/>
  <c r="I6" i="1"/>
  <c r="J6" i="1"/>
  <c r="F30" i="1"/>
  <c r="G31" i="1"/>
  <c r="H31" i="1" s="1"/>
  <c r="J180" i="1"/>
  <c r="I180" i="1"/>
  <c r="E4" i="1" l="1"/>
  <c r="I5" i="1"/>
  <c r="J5" i="1"/>
  <c r="F29" i="1"/>
  <c r="G30" i="1"/>
  <c r="H30" i="1" s="1"/>
  <c r="J179" i="1"/>
  <c r="I179" i="1"/>
  <c r="E3" i="1" l="1"/>
  <c r="J4" i="1"/>
  <c r="I4" i="1"/>
  <c r="F28" i="1"/>
  <c r="G29" i="1"/>
  <c r="H29" i="1" s="1"/>
  <c r="I178" i="1"/>
  <c r="J178" i="1"/>
  <c r="E2" i="1" l="1"/>
  <c r="J3" i="1"/>
  <c r="I3" i="1"/>
  <c r="F27" i="1"/>
  <c r="G28" i="1"/>
  <c r="H28" i="1" s="1"/>
  <c r="I177" i="1"/>
  <c r="J177" i="1"/>
  <c r="J2" i="1" l="1"/>
  <c r="I2" i="1"/>
  <c r="F26" i="1"/>
  <c r="G27" i="1"/>
  <c r="H27" i="1" s="1"/>
  <c r="J176" i="1"/>
  <c r="I176" i="1"/>
  <c r="F25" i="1" l="1"/>
  <c r="G26" i="1"/>
  <c r="H26" i="1" s="1"/>
  <c r="J175" i="1"/>
  <c r="I175" i="1"/>
  <c r="F24" i="1" l="1"/>
  <c r="G25" i="1"/>
  <c r="H25" i="1" s="1"/>
  <c r="J174" i="1"/>
  <c r="I174" i="1"/>
  <c r="F23" i="1" l="1"/>
  <c r="G24" i="1"/>
  <c r="H24" i="1" s="1"/>
  <c r="J51" i="1"/>
  <c r="I51" i="1"/>
  <c r="J173" i="1"/>
  <c r="I173" i="1"/>
  <c r="F22" i="1" l="1"/>
  <c r="G23" i="1"/>
  <c r="H23" i="1" s="1"/>
  <c r="I50" i="1"/>
  <c r="J50" i="1"/>
  <c r="J172" i="1"/>
  <c r="I172" i="1"/>
  <c r="F21" i="1" l="1"/>
  <c r="G22" i="1"/>
  <c r="H22" i="1" s="1"/>
  <c r="I49" i="1"/>
  <c r="J49" i="1"/>
  <c r="J171" i="1"/>
  <c r="I171" i="1"/>
  <c r="F20" i="1" l="1"/>
  <c r="G21" i="1"/>
  <c r="H21" i="1" s="1"/>
  <c r="J48" i="1"/>
  <c r="I48" i="1"/>
  <c r="I170" i="1"/>
  <c r="J170" i="1"/>
  <c r="F19" i="1" l="1"/>
  <c r="G20" i="1"/>
  <c r="H20" i="1" s="1"/>
  <c r="J47" i="1"/>
  <c r="I47" i="1"/>
  <c r="I169" i="1"/>
  <c r="J169" i="1"/>
  <c r="F18" i="1" l="1"/>
  <c r="G19" i="1"/>
  <c r="H19" i="1" s="1"/>
  <c r="I46" i="1"/>
  <c r="J46" i="1"/>
  <c r="J168" i="1"/>
  <c r="I168" i="1"/>
  <c r="F17" i="1" l="1"/>
  <c r="G18" i="1"/>
  <c r="H18" i="1" s="1"/>
  <c r="I45" i="1"/>
  <c r="J45" i="1"/>
  <c r="J167" i="1"/>
  <c r="I167" i="1"/>
  <c r="F16" i="1" l="1"/>
  <c r="G17" i="1"/>
  <c r="H17" i="1" s="1"/>
  <c r="J44" i="1"/>
  <c r="I44" i="1"/>
  <c r="J166" i="1"/>
  <c r="I166" i="1"/>
  <c r="F15" i="1" l="1"/>
  <c r="G16" i="1"/>
  <c r="H16" i="1" s="1"/>
  <c r="J43" i="1"/>
  <c r="I43" i="1"/>
  <c r="J165" i="1"/>
  <c r="I165" i="1"/>
  <c r="F14" i="1" l="1"/>
  <c r="G15" i="1"/>
  <c r="H15" i="1" s="1"/>
  <c r="I42" i="1"/>
  <c r="J42" i="1"/>
  <c r="J164" i="1"/>
  <c r="I164" i="1"/>
  <c r="F13" i="1" l="1"/>
  <c r="G14" i="1"/>
  <c r="H14" i="1" s="1"/>
  <c r="J41" i="1"/>
  <c r="I41" i="1"/>
  <c r="J163" i="1"/>
  <c r="I163" i="1"/>
  <c r="F12" i="1" l="1"/>
  <c r="G13" i="1"/>
  <c r="H13" i="1" s="1"/>
  <c r="J40" i="1"/>
  <c r="I40" i="1"/>
  <c r="I162" i="1"/>
  <c r="J162" i="1"/>
  <c r="F11" i="1" l="1"/>
  <c r="G12" i="1"/>
  <c r="H12" i="1" s="1"/>
  <c r="J39" i="1"/>
  <c r="I39" i="1"/>
  <c r="I161" i="1"/>
  <c r="J161" i="1"/>
  <c r="F10" i="1" l="1"/>
  <c r="G11" i="1"/>
  <c r="H11" i="1" s="1"/>
  <c r="I38" i="1"/>
  <c r="J38" i="1"/>
  <c r="J160" i="1"/>
  <c r="I160" i="1"/>
  <c r="F9" i="1" l="1"/>
  <c r="G10" i="1"/>
  <c r="H10" i="1" s="1"/>
  <c r="J37" i="1"/>
  <c r="I37" i="1"/>
  <c r="J159" i="1"/>
  <c r="I159" i="1"/>
  <c r="F8" i="1" l="1"/>
  <c r="G9" i="1"/>
  <c r="H9" i="1" s="1"/>
  <c r="J36" i="1"/>
  <c r="I36" i="1"/>
  <c r="J158" i="1"/>
  <c r="I158" i="1"/>
  <c r="F7" i="1" l="1"/>
  <c r="G8" i="1"/>
  <c r="H8" i="1" s="1"/>
  <c r="J35" i="1"/>
  <c r="I35" i="1"/>
  <c r="J157" i="1"/>
  <c r="I157" i="1"/>
  <c r="F6" i="1" l="1"/>
  <c r="G7" i="1"/>
  <c r="H7" i="1" s="1"/>
  <c r="I34" i="1"/>
  <c r="J34" i="1"/>
  <c r="J156" i="1"/>
  <c r="I156" i="1"/>
  <c r="F5" i="1" l="1"/>
  <c r="G6" i="1"/>
  <c r="H6" i="1" s="1"/>
  <c r="J33" i="1"/>
  <c r="I33" i="1"/>
  <c r="J155" i="1"/>
  <c r="I155" i="1"/>
  <c r="F4" i="1" l="1"/>
  <c r="G5" i="1"/>
  <c r="H5" i="1" s="1"/>
  <c r="J32" i="1"/>
  <c r="I32" i="1"/>
  <c r="I154" i="1"/>
  <c r="J154" i="1"/>
  <c r="F3" i="1" l="1"/>
  <c r="G4" i="1"/>
  <c r="H4" i="1" s="1"/>
  <c r="J31" i="1"/>
  <c r="I31" i="1"/>
  <c r="I153" i="1"/>
  <c r="J153" i="1"/>
  <c r="F2" i="1" l="1"/>
  <c r="G2" i="1" s="1"/>
  <c r="H2" i="1" s="1"/>
  <c r="G3" i="1"/>
  <c r="H3" i="1" s="1"/>
  <c r="J30" i="1"/>
  <c r="I30" i="1"/>
  <c r="J152" i="1"/>
  <c r="I152" i="1"/>
  <c r="J29" i="1" l="1"/>
  <c r="I29" i="1"/>
  <c r="J151" i="1"/>
  <c r="I151" i="1"/>
  <c r="J28" i="1" l="1"/>
  <c r="I28" i="1"/>
  <c r="J150" i="1"/>
  <c r="I150" i="1"/>
  <c r="J149" i="1" l="1"/>
  <c r="I149" i="1"/>
  <c r="J148" i="1" l="1"/>
  <c r="I148" i="1"/>
  <c r="J147" i="1" l="1"/>
  <c r="I147" i="1"/>
  <c r="I146" i="1" l="1"/>
  <c r="J146" i="1"/>
  <c r="I145" i="1" l="1"/>
  <c r="J145" i="1"/>
  <c r="J144" i="1" l="1"/>
  <c r="I144" i="1"/>
  <c r="J143" i="1" l="1"/>
  <c r="I143" i="1"/>
  <c r="J142" i="1" l="1"/>
  <c r="I142" i="1"/>
  <c r="J141" i="1" l="1"/>
  <c r="I141" i="1"/>
  <c r="J140" i="1" l="1"/>
  <c r="I140" i="1"/>
  <c r="J139" i="1" l="1"/>
  <c r="I139" i="1"/>
  <c r="J138" i="1" l="1"/>
  <c r="I138" i="1"/>
  <c r="J137" i="1" l="1"/>
  <c r="I137" i="1"/>
  <c r="J136" i="1" l="1"/>
  <c r="I136" i="1"/>
  <c r="J135" i="1" l="1"/>
  <c r="I135" i="1"/>
  <c r="J134" i="1" l="1"/>
  <c r="I134" i="1"/>
  <c r="J133" i="1" l="1"/>
  <c r="I133" i="1"/>
  <c r="J132" i="1" l="1"/>
  <c r="I132" i="1"/>
  <c r="J131" i="1" l="1"/>
  <c r="I131" i="1"/>
  <c r="J130" i="1" l="1"/>
  <c r="I130" i="1"/>
  <c r="I129" i="1" l="1"/>
  <c r="J129" i="1"/>
  <c r="J128" i="1" l="1"/>
  <c r="I128" i="1"/>
  <c r="J127" i="1" l="1"/>
  <c r="I127" i="1"/>
  <c r="J126" i="1" l="1"/>
  <c r="I126" i="1"/>
  <c r="J125" i="1" l="1"/>
  <c r="I125" i="1"/>
  <c r="J124" i="1" l="1"/>
  <c r="I124" i="1"/>
  <c r="J123" i="1" l="1"/>
  <c r="I123" i="1"/>
  <c r="J122" i="1" l="1"/>
  <c r="I122" i="1"/>
  <c r="J121" i="1" l="1"/>
  <c r="I121" i="1"/>
  <c r="J120" i="1" l="1"/>
  <c r="I120" i="1"/>
  <c r="J119" i="1" l="1"/>
  <c r="I119" i="1"/>
  <c r="J118" i="1" l="1"/>
  <c r="I118" i="1"/>
  <c r="J117" i="1" l="1"/>
  <c r="I117" i="1"/>
  <c r="J116" i="1" l="1"/>
  <c r="I116" i="1"/>
  <c r="J115" i="1" l="1"/>
  <c r="I115" i="1"/>
  <c r="J114" i="1" l="1"/>
  <c r="I114" i="1"/>
  <c r="J113" i="1" l="1"/>
  <c r="I113" i="1"/>
  <c r="J112" i="1" l="1"/>
  <c r="I112" i="1"/>
  <c r="J111" i="1" l="1"/>
  <c r="I111" i="1"/>
  <c r="J110" i="1" l="1"/>
  <c r="I110" i="1"/>
  <c r="J109" i="1" l="1"/>
  <c r="I109" i="1"/>
  <c r="J108" i="1" l="1"/>
  <c r="I108" i="1"/>
  <c r="J107" i="1" l="1"/>
  <c r="I107" i="1"/>
  <c r="J106" i="1" l="1"/>
  <c r="I106" i="1"/>
  <c r="J105" i="1" l="1"/>
  <c r="I105" i="1"/>
  <c r="J104" i="1" l="1"/>
  <c r="I104" i="1"/>
  <c r="J103" i="1" l="1"/>
  <c r="I103" i="1"/>
  <c r="J102" i="1" l="1"/>
  <c r="I102" i="1"/>
  <c r="J101" i="1" l="1"/>
  <c r="I101" i="1"/>
  <c r="J100" i="1" l="1"/>
  <c r="I100" i="1"/>
  <c r="J99" i="1" l="1"/>
  <c r="I99" i="1"/>
  <c r="J98" i="1" l="1"/>
  <c r="I98" i="1"/>
  <c r="I97" i="1" l="1"/>
  <c r="J97" i="1"/>
  <c r="J96" i="1" l="1"/>
  <c r="I96" i="1"/>
  <c r="J95" i="1" l="1"/>
  <c r="I95" i="1"/>
  <c r="J94" i="1" l="1"/>
  <c r="I94" i="1"/>
  <c r="J93" i="1" l="1"/>
  <c r="I93" i="1"/>
  <c r="J92" i="1" l="1"/>
  <c r="I92" i="1"/>
  <c r="J91" i="1" l="1"/>
  <c r="I91" i="1"/>
  <c r="J90" i="1" l="1"/>
  <c r="I90" i="1"/>
  <c r="J89" i="1" l="1"/>
  <c r="I89" i="1"/>
  <c r="J88" i="1" l="1"/>
  <c r="I88" i="1"/>
  <c r="J87" i="1" l="1"/>
  <c r="I87" i="1"/>
  <c r="J86" i="1" l="1"/>
  <c r="I86" i="1"/>
  <c r="J85" i="1" l="1"/>
  <c r="I85" i="1"/>
  <c r="J84" i="1" l="1"/>
  <c r="I84" i="1"/>
  <c r="J83" i="1" l="1"/>
  <c r="I83" i="1"/>
  <c r="J82" i="1" l="1"/>
  <c r="I82" i="1"/>
  <c r="J81" i="1" l="1"/>
  <c r="I81" i="1"/>
  <c r="J80" i="1" l="1"/>
  <c r="I80" i="1"/>
  <c r="J79" i="1" l="1"/>
  <c r="I79" i="1"/>
  <c r="J78" i="1" l="1"/>
  <c r="I78" i="1"/>
  <c r="J77" i="1" l="1"/>
  <c r="I77" i="1"/>
  <c r="J76" i="1" l="1"/>
  <c r="I76" i="1"/>
  <c r="J75" i="1" l="1"/>
  <c r="I75" i="1"/>
  <c r="J74" i="1" l="1"/>
  <c r="I74" i="1"/>
  <c r="J73" i="1" l="1"/>
  <c r="I73" i="1"/>
  <c r="J72" i="1" l="1"/>
  <c r="I72" i="1"/>
  <c r="J71" i="1" l="1"/>
  <c r="I71" i="1"/>
  <c r="J70" i="1" l="1"/>
  <c r="I70" i="1"/>
  <c r="J69" i="1" l="1"/>
  <c r="I69" i="1"/>
  <c r="J68" i="1" l="1"/>
  <c r="I68" i="1"/>
  <c r="J67" i="1" l="1"/>
  <c r="I67" i="1"/>
  <c r="J66" i="1" l="1"/>
  <c r="I66" i="1"/>
  <c r="I65" i="1" l="1"/>
  <c r="J65" i="1"/>
  <c r="J64" i="1" l="1"/>
  <c r="I64" i="1"/>
  <c r="J63" i="1" l="1"/>
  <c r="I63" i="1"/>
  <c r="J62" i="1" l="1"/>
  <c r="I62" i="1"/>
  <c r="J61" i="1" l="1"/>
  <c r="I61" i="1"/>
  <c r="J60" i="1" l="1"/>
  <c r="I60" i="1"/>
  <c r="J59" i="1" l="1"/>
  <c r="I59" i="1"/>
  <c r="J58" i="1" l="1"/>
  <c r="I58" i="1"/>
  <c r="J57" i="1" l="1"/>
  <c r="I57" i="1"/>
  <c r="J56" i="1" l="1"/>
  <c r="I56" i="1"/>
  <c r="J55" i="1" l="1"/>
  <c r="I55" i="1"/>
  <c r="J54" i="1" l="1"/>
  <c r="I54" i="1"/>
  <c r="J53" i="1" l="1"/>
  <c r="I53" i="1"/>
  <c r="J52" i="1" l="1"/>
  <c r="I52" i="1"/>
</calcChain>
</file>

<file path=xl/sharedStrings.xml><?xml version="1.0" encoding="utf-8"?>
<sst xmlns="http://schemas.openxmlformats.org/spreadsheetml/2006/main" count="11" uniqueCount="11">
  <si>
    <t>MACD</t>
  </si>
  <si>
    <t>SEMA</t>
  </si>
  <si>
    <t>FEMA</t>
  </si>
  <si>
    <t>Slow window (days)?</t>
  </si>
  <si>
    <t>Fast window (days)?</t>
  </si>
  <si>
    <t>US Stock symbol?</t>
  </si>
  <si>
    <t>Avg MACD</t>
  </si>
  <si>
    <t>Bollinger Resistance</t>
  </si>
  <si>
    <t>Bollinger Support</t>
  </si>
  <si>
    <t>IBM</t>
  </si>
  <si>
    <t>WIKI/IBM/CLOSE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</si>
</sst>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Slow Moving Avg vs Fast Moving Avg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SEMA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</c:dPt>
          <c:dPt>
            <c:idx val="21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</c:dPt>
          <c:cat>
            <c:numRef>
              <c:f>MACD!$C$2:$C$27</c:f>
              <c:numCache>
                <c:formatCode>m/d/yyyy</c:formatCode>
                <c:ptCount val="26"/>
                <c:pt idx="0">
                  <c:v>42912</c:v>
                </c:pt>
                <c:pt idx="1">
                  <c:v>42909</c:v>
                </c:pt>
                <c:pt idx="2">
                  <c:v>42908</c:v>
                </c:pt>
                <c:pt idx="3">
                  <c:v>42907</c:v>
                </c:pt>
                <c:pt idx="4">
                  <c:v>42906</c:v>
                </c:pt>
                <c:pt idx="5">
                  <c:v>42905</c:v>
                </c:pt>
                <c:pt idx="6">
                  <c:v>42902</c:v>
                </c:pt>
                <c:pt idx="7">
                  <c:v>42901</c:v>
                </c:pt>
                <c:pt idx="8">
                  <c:v>42900</c:v>
                </c:pt>
                <c:pt idx="9">
                  <c:v>42899</c:v>
                </c:pt>
                <c:pt idx="10">
                  <c:v>42898</c:v>
                </c:pt>
                <c:pt idx="11">
                  <c:v>42895</c:v>
                </c:pt>
                <c:pt idx="12">
                  <c:v>42894</c:v>
                </c:pt>
                <c:pt idx="13">
                  <c:v>42893</c:v>
                </c:pt>
                <c:pt idx="14">
                  <c:v>42892</c:v>
                </c:pt>
                <c:pt idx="15">
                  <c:v>42891</c:v>
                </c:pt>
                <c:pt idx="16">
                  <c:v>42888</c:v>
                </c:pt>
                <c:pt idx="17">
                  <c:v>42887</c:v>
                </c:pt>
                <c:pt idx="18">
                  <c:v>42886</c:v>
                </c:pt>
                <c:pt idx="19">
                  <c:v>42885</c:v>
                </c:pt>
                <c:pt idx="20">
                  <c:v>42881</c:v>
                </c:pt>
                <c:pt idx="21">
                  <c:v>42880</c:v>
                </c:pt>
                <c:pt idx="22">
                  <c:v>42879</c:v>
                </c:pt>
                <c:pt idx="23">
                  <c:v>42878</c:v>
                </c:pt>
                <c:pt idx="24">
                  <c:v>42877</c:v>
                </c:pt>
                <c:pt idx="25">
                  <c:v>42874</c:v>
                </c:pt>
              </c:numCache>
            </c:numRef>
          </c:cat>
          <c:val>
            <c:numRef>
              <c:f>MACD!$E$2:$E$27</c:f>
              <c:numCache>
                <c:formatCode>General</c:formatCode>
                <c:ptCount val="26"/>
                <c:pt idx="0">
                  <c:v>154.33048779719036</c:v>
                </c:pt>
                <c:pt idx="1">
                  <c:v>154.25852682096559</c:v>
                </c:pt>
                <c:pt idx="2">
                  <c:v>154.27040896664283</c:v>
                </c:pt>
                <c:pt idx="3">
                  <c:v>154.26004168397424</c:v>
                </c:pt>
                <c:pt idx="4">
                  <c:v>154.29764501869218</c:v>
                </c:pt>
                <c:pt idx="5">
                  <c:v>154.24545662018755</c:v>
                </c:pt>
                <c:pt idx="6">
                  <c:v>154.19789314980255</c:v>
                </c:pt>
                <c:pt idx="7">
                  <c:v>154.10332460178674</c:v>
                </c:pt>
                <c:pt idx="8">
                  <c:v>154.09399056992967</c:v>
                </c:pt>
                <c:pt idx="9">
                  <c:v>154.11670981552402</c:v>
                </c:pt>
                <c:pt idx="10">
                  <c:v>154.10604660076595</c:v>
                </c:pt>
                <c:pt idx="11">
                  <c:v>154.02013032882724</c:v>
                </c:pt>
                <c:pt idx="12">
                  <c:v>154.01374075513343</c:v>
                </c:pt>
                <c:pt idx="13">
                  <c:v>154.16684001554412</c:v>
                </c:pt>
                <c:pt idx="14">
                  <c:v>154.42178721678764</c:v>
                </c:pt>
                <c:pt idx="15">
                  <c:v>154.58593019413064</c:v>
                </c:pt>
                <c:pt idx="16">
                  <c:v>154.76000460966108</c:v>
                </c:pt>
                <c:pt idx="17">
                  <c:v>154.97680497843396</c:v>
                </c:pt>
                <c:pt idx="18">
                  <c:v>155.16134937670867</c:v>
                </c:pt>
                <c:pt idx="19">
                  <c:v>155.36385732684536</c:v>
                </c:pt>
                <c:pt idx="20">
                  <c:v>155.65456591299298</c:v>
                </c:pt>
                <c:pt idx="21">
                  <c:v>155.90773118603241</c:v>
                </c:pt>
                <c:pt idx="22">
                  <c:v>156.124349680915</c:v>
                </c:pt>
                <c:pt idx="23">
                  <c:v>156.4134976553882</c:v>
                </c:pt>
                <c:pt idx="24">
                  <c:v>156.76417746781922</c:v>
                </c:pt>
                <c:pt idx="25">
                  <c:v>157.09411166524475</c:v>
                </c:pt>
              </c:numCache>
            </c:numRef>
          </c:val>
          <c:smooth val="0"/>
        </c:ser>
        <c:ser>
          <c:idx val="1"/>
          <c:order val="1"/>
          <c:tx>
            <c:v>FEMA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42912</c:v>
                </c:pt>
                <c:pt idx="1">
                  <c:v>42909</c:v>
                </c:pt>
                <c:pt idx="2">
                  <c:v>42908</c:v>
                </c:pt>
                <c:pt idx="3">
                  <c:v>42907</c:v>
                </c:pt>
                <c:pt idx="4">
                  <c:v>42906</c:v>
                </c:pt>
                <c:pt idx="5">
                  <c:v>42905</c:v>
                </c:pt>
                <c:pt idx="6">
                  <c:v>42902</c:v>
                </c:pt>
                <c:pt idx="7">
                  <c:v>42901</c:v>
                </c:pt>
                <c:pt idx="8">
                  <c:v>42900</c:v>
                </c:pt>
                <c:pt idx="9">
                  <c:v>42899</c:v>
                </c:pt>
                <c:pt idx="10">
                  <c:v>42898</c:v>
                </c:pt>
                <c:pt idx="11">
                  <c:v>42895</c:v>
                </c:pt>
                <c:pt idx="12">
                  <c:v>42894</c:v>
                </c:pt>
                <c:pt idx="13">
                  <c:v>42893</c:v>
                </c:pt>
                <c:pt idx="14">
                  <c:v>42892</c:v>
                </c:pt>
                <c:pt idx="15">
                  <c:v>42891</c:v>
                </c:pt>
                <c:pt idx="16">
                  <c:v>42888</c:v>
                </c:pt>
                <c:pt idx="17">
                  <c:v>42887</c:v>
                </c:pt>
                <c:pt idx="18">
                  <c:v>42886</c:v>
                </c:pt>
                <c:pt idx="19">
                  <c:v>42885</c:v>
                </c:pt>
                <c:pt idx="20">
                  <c:v>42881</c:v>
                </c:pt>
                <c:pt idx="21">
                  <c:v>42880</c:v>
                </c:pt>
                <c:pt idx="22">
                  <c:v>42879</c:v>
                </c:pt>
                <c:pt idx="23">
                  <c:v>42878</c:v>
                </c:pt>
                <c:pt idx="24">
                  <c:v>42877</c:v>
                </c:pt>
                <c:pt idx="25">
                  <c:v>42874</c:v>
                </c:pt>
              </c:numCache>
            </c:numRef>
          </c:cat>
          <c:val>
            <c:numRef>
              <c:f>MACD!$F$2:$F$27</c:f>
              <c:numCache>
                <c:formatCode>General</c:formatCode>
                <c:ptCount val="26"/>
                <c:pt idx="0">
                  <c:v>154.25034616225383</c:v>
                </c:pt>
                <c:pt idx="1">
                  <c:v>154.07222728266362</c:v>
                </c:pt>
                <c:pt idx="2">
                  <c:v>154.06535951587517</c:v>
                </c:pt>
                <c:pt idx="3">
                  <c:v>154.00451579148884</c:v>
                </c:pt>
                <c:pt idx="4">
                  <c:v>154.04351866266865</c:v>
                </c:pt>
                <c:pt idx="5">
                  <c:v>153.87870387406295</c:v>
                </c:pt>
                <c:pt idx="6">
                  <c:v>153.70392276025621</c:v>
                </c:pt>
                <c:pt idx="7">
                  <c:v>153.39918144393917</c:v>
                </c:pt>
                <c:pt idx="8">
                  <c:v>153.24994170647358</c:v>
                </c:pt>
                <c:pt idx="9">
                  <c:v>153.14811292583244</c:v>
                </c:pt>
                <c:pt idx="10">
                  <c:v>152.94776982143836</c:v>
                </c:pt>
                <c:pt idx="11">
                  <c:v>152.54190978897259</c:v>
                </c:pt>
                <c:pt idx="12">
                  <c:v>152.25862065969488</c:v>
                </c:pt>
                <c:pt idx="13">
                  <c:v>152.28746077963939</c:v>
                </c:pt>
                <c:pt idx="14">
                  <c:v>152.52518092139201</c:v>
                </c:pt>
                <c:pt idx="15">
                  <c:v>152.55339563437235</c:v>
                </c:pt>
                <c:pt idx="16">
                  <c:v>152.5794675678946</c:v>
                </c:pt>
                <c:pt idx="17">
                  <c:v>152.67573439842087</c:v>
                </c:pt>
                <c:pt idx="18">
                  <c:v>152.67677701631558</c:v>
                </c:pt>
                <c:pt idx="19">
                  <c:v>152.68528192837297</c:v>
                </c:pt>
                <c:pt idx="20">
                  <c:v>152.85896955171353</c:v>
                </c:pt>
                <c:pt idx="21">
                  <c:v>152.92605492475235</c:v>
                </c:pt>
                <c:pt idx="22">
                  <c:v>152.87624672925278</c:v>
                </c:pt>
                <c:pt idx="23">
                  <c:v>152.94283704366237</c:v>
                </c:pt>
                <c:pt idx="24">
                  <c:v>153.10880741523732</c:v>
                </c:pt>
                <c:pt idx="25">
                  <c:v>153.19404512709863</c:v>
                </c:pt>
              </c:numCache>
            </c:numRef>
          </c:val>
          <c:smooth val="0"/>
        </c:ser>
        <c:ser>
          <c:idx val="2"/>
          <c:order val="2"/>
          <c:tx>
            <c:v>Resistance (High)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42912</c:v>
                </c:pt>
                <c:pt idx="1">
                  <c:v>42909</c:v>
                </c:pt>
                <c:pt idx="2">
                  <c:v>42908</c:v>
                </c:pt>
                <c:pt idx="3">
                  <c:v>42907</c:v>
                </c:pt>
                <c:pt idx="4">
                  <c:v>42906</c:v>
                </c:pt>
                <c:pt idx="5">
                  <c:v>42905</c:v>
                </c:pt>
                <c:pt idx="6">
                  <c:v>42902</c:v>
                </c:pt>
                <c:pt idx="7">
                  <c:v>42901</c:v>
                </c:pt>
                <c:pt idx="8">
                  <c:v>42900</c:v>
                </c:pt>
                <c:pt idx="9">
                  <c:v>42899</c:v>
                </c:pt>
                <c:pt idx="10">
                  <c:v>42898</c:v>
                </c:pt>
                <c:pt idx="11">
                  <c:v>42895</c:v>
                </c:pt>
                <c:pt idx="12">
                  <c:v>42894</c:v>
                </c:pt>
                <c:pt idx="13">
                  <c:v>42893</c:v>
                </c:pt>
                <c:pt idx="14">
                  <c:v>42892</c:v>
                </c:pt>
                <c:pt idx="15">
                  <c:v>42891</c:v>
                </c:pt>
                <c:pt idx="16">
                  <c:v>42888</c:v>
                </c:pt>
                <c:pt idx="17">
                  <c:v>42887</c:v>
                </c:pt>
                <c:pt idx="18">
                  <c:v>42886</c:v>
                </c:pt>
                <c:pt idx="19">
                  <c:v>42885</c:v>
                </c:pt>
                <c:pt idx="20">
                  <c:v>42881</c:v>
                </c:pt>
                <c:pt idx="21">
                  <c:v>42880</c:v>
                </c:pt>
                <c:pt idx="22">
                  <c:v>42879</c:v>
                </c:pt>
                <c:pt idx="23">
                  <c:v>42878</c:v>
                </c:pt>
                <c:pt idx="24">
                  <c:v>42877</c:v>
                </c:pt>
                <c:pt idx="25">
                  <c:v>42874</c:v>
                </c:pt>
              </c:numCache>
            </c:numRef>
          </c:cat>
          <c:val>
            <c:numRef>
              <c:f>MACD!$I$2:$I$27</c:f>
              <c:numCache>
                <c:formatCode>General</c:formatCode>
                <c:ptCount val="26"/>
                <c:pt idx="0">
                  <c:v>156.19131008257696</c:v>
                </c:pt>
                <c:pt idx="1">
                  <c:v>156.37964252642541</c:v>
                </c:pt>
                <c:pt idx="2">
                  <c:v>156.69009593559386</c:v>
                </c:pt>
                <c:pt idx="3">
                  <c:v>157.01623933882021</c:v>
                </c:pt>
                <c:pt idx="4">
                  <c:v>157.38424935910683</c:v>
                </c:pt>
                <c:pt idx="5">
                  <c:v>157.69495521704502</c:v>
                </c:pt>
                <c:pt idx="6">
                  <c:v>158.05358480570396</c:v>
                </c:pt>
                <c:pt idx="7">
                  <c:v>158.40282845901191</c:v>
                </c:pt>
                <c:pt idx="8">
                  <c:v>158.8613784183035</c:v>
                </c:pt>
                <c:pt idx="9">
                  <c:v>159.37018149422096</c:v>
                </c:pt>
                <c:pt idx="10">
                  <c:v>159.85519162576796</c:v>
                </c:pt>
                <c:pt idx="11">
                  <c:v>160.24687342930491</c:v>
                </c:pt>
                <c:pt idx="12">
                  <c:v>160.6456646841884</c:v>
                </c:pt>
                <c:pt idx="13">
                  <c:v>161.15210294984507</c:v>
                </c:pt>
                <c:pt idx="14">
                  <c:v>161.72415739166871</c:v>
                </c:pt>
                <c:pt idx="15">
                  <c:v>162.18792851396077</c:v>
                </c:pt>
                <c:pt idx="16">
                  <c:v>162.62351434823839</c:v>
                </c:pt>
                <c:pt idx="17">
                  <c:v>163.06870612435191</c:v>
                </c:pt>
                <c:pt idx="18">
                  <c:v>163.45934314735763</c:v>
                </c:pt>
                <c:pt idx="19">
                  <c:v>163.84166990210284</c:v>
                </c:pt>
                <c:pt idx="20">
                  <c:v>164.28657992420545</c:v>
                </c:pt>
                <c:pt idx="21">
                  <c:v>164.68497701533829</c:v>
                </c:pt>
                <c:pt idx="22">
                  <c:v>165.01644527594149</c:v>
                </c:pt>
                <c:pt idx="23">
                  <c:v>165.39427715376547</c:v>
                </c:pt>
                <c:pt idx="24">
                  <c:v>165.7341578994357</c:v>
                </c:pt>
                <c:pt idx="25">
                  <c:v>165.95865707062711</c:v>
                </c:pt>
              </c:numCache>
            </c:numRef>
          </c:val>
          <c:smooth val="0"/>
        </c:ser>
        <c:ser>
          <c:idx val="3"/>
          <c:order val="3"/>
          <c:tx>
            <c:v>Support (Low)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42912</c:v>
                </c:pt>
                <c:pt idx="1">
                  <c:v>42909</c:v>
                </c:pt>
                <c:pt idx="2">
                  <c:v>42908</c:v>
                </c:pt>
                <c:pt idx="3">
                  <c:v>42907</c:v>
                </c:pt>
                <c:pt idx="4">
                  <c:v>42906</c:v>
                </c:pt>
                <c:pt idx="5">
                  <c:v>42905</c:v>
                </c:pt>
                <c:pt idx="6">
                  <c:v>42902</c:v>
                </c:pt>
                <c:pt idx="7">
                  <c:v>42901</c:v>
                </c:pt>
                <c:pt idx="8">
                  <c:v>42900</c:v>
                </c:pt>
                <c:pt idx="9">
                  <c:v>42899</c:v>
                </c:pt>
                <c:pt idx="10">
                  <c:v>42898</c:v>
                </c:pt>
                <c:pt idx="11">
                  <c:v>42895</c:v>
                </c:pt>
                <c:pt idx="12">
                  <c:v>42894</c:v>
                </c:pt>
                <c:pt idx="13">
                  <c:v>42893</c:v>
                </c:pt>
                <c:pt idx="14">
                  <c:v>42892</c:v>
                </c:pt>
                <c:pt idx="15">
                  <c:v>42891</c:v>
                </c:pt>
                <c:pt idx="16">
                  <c:v>42888</c:v>
                </c:pt>
                <c:pt idx="17">
                  <c:v>42887</c:v>
                </c:pt>
                <c:pt idx="18">
                  <c:v>42886</c:v>
                </c:pt>
                <c:pt idx="19">
                  <c:v>42885</c:v>
                </c:pt>
                <c:pt idx="20">
                  <c:v>42881</c:v>
                </c:pt>
                <c:pt idx="21">
                  <c:v>42880</c:v>
                </c:pt>
                <c:pt idx="22">
                  <c:v>42879</c:v>
                </c:pt>
                <c:pt idx="23">
                  <c:v>42878</c:v>
                </c:pt>
                <c:pt idx="24">
                  <c:v>42877</c:v>
                </c:pt>
                <c:pt idx="25">
                  <c:v>42874</c:v>
                </c:pt>
              </c:numCache>
            </c:numRef>
          </c:cat>
          <c:val>
            <c:numRef>
              <c:f>MACD!$J$2:$J$27</c:f>
              <c:numCache>
                <c:formatCode>General</c:formatCode>
                <c:ptCount val="26"/>
                <c:pt idx="0">
                  <c:v>152.46966551180375</c:v>
                </c:pt>
                <c:pt idx="1">
                  <c:v>152.13741111550576</c:v>
                </c:pt>
                <c:pt idx="2">
                  <c:v>151.85072199769181</c:v>
                </c:pt>
                <c:pt idx="3">
                  <c:v>151.50384402912826</c:v>
                </c:pt>
                <c:pt idx="4">
                  <c:v>151.21104067827753</c:v>
                </c:pt>
                <c:pt idx="5">
                  <c:v>150.79595802333009</c:v>
                </c:pt>
                <c:pt idx="6">
                  <c:v>150.34220149390114</c:v>
                </c:pt>
                <c:pt idx="7">
                  <c:v>149.80382074456156</c:v>
                </c:pt>
                <c:pt idx="8">
                  <c:v>149.32660272155584</c:v>
                </c:pt>
                <c:pt idx="9">
                  <c:v>148.86323813682708</c:v>
                </c:pt>
                <c:pt idx="10">
                  <c:v>148.35690157576394</c:v>
                </c:pt>
                <c:pt idx="11">
                  <c:v>147.79338722834956</c:v>
                </c:pt>
                <c:pt idx="12">
                  <c:v>147.38181682607845</c:v>
                </c:pt>
                <c:pt idx="13">
                  <c:v>147.18157708124318</c:v>
                </c:pt>
                <c:pt idx="14">
                  <c:v>147.11941704190656</c:v>
                </c:pt>
                <c:pt idx="15">
                  <c:v>146.98393187430051</c:v>
                </c:pt>
                <c:pt idx="16">
                  <c:v>146.89649487108377</c:v>
                </c:pt>
                <c:pt idx="17">
                  <c:v>146.88490383251602</c:v>
                </c:pt>
                <c:pt idx="18">
                  <c:v>146.86335560605971</c:v>
                </c:pt>
                <c:pt idx="19">
                  <c:v>146.88604475158789</c:v>
                </c:pt>
                <c:pt idx="20">
                  <c:v>147.0225519017805</c:v>
                </c:pt>
                <c:pt idx="21">
                  <c:v>147.13048535672652</c:v>
                </c:pt>
                <c:pt idx="22">
                  <c:v>147.23225408588851</c:v>
                </c:pt>
                <c:pt idx="23">
                  <c:v>147.43271815701092</c:v>
                </c:pt>
                <c:pt idx="24">
                  <c:v>147.79419703620275</c:v>
                </c:pt>
                <c:pt idx="25">
                  <c:v>148.22956625986239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972848"/>
        <c:axId val="642975200"/>
      </c:lineChart>
      <c:dateAx>
        <c:axId val="642972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975200"/>
        <c:crosses val="autoZero"/>
        <c:auto val="0"/>
        <c:lblOffset val="100"/>
        <c:baseTimeUnit val="days"/>
      </c:dateAx>
      <c:valAx>
        <c:axId val="64297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 Price  Moving Avg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97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MACD vs Avg MACD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MACD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42912</c:v>
                </c:pt>
                <c:pt idx="1">
                  <c:v>42909</c:v>
                </c:pt>
                <c:pt idx="2">
                  <c:v>42908</c:v>
                </c:pt>
                <c:pt idx="3">
                  <c:v>42907</c:v>
                </c:pt>
                <c:pt idx="4">
                  <c:v>42906</c:v>
                </c:pt>
                <c:pt idx="5">
                  <c:v>42905</c:v>
                </c:pt>
                <c:pt idx="6">
                  <c:v>42902</c:v>
                </c:pt>
                <c:pt idx="7">
                  <c:v>42901</c:v>
                </c:pt>
                <c:pt idx="8">
                  <c:v>42900</c:v>
                </c:pt>
                <c:pt idx="9">
                  <c:v>42899</c:v>
                </c:pt>
                <c:pt idx="10">
                  <c:v>42898</c:v>
                </c:pt>
                <c:pt idx="11">
                  <c:v>42895</c:v>
                </c:pt>
                <c:pt idx="12">
                  <c:v>42894</c:v>
                </c:pt>
                <c:pt idx="13">
                  <c:v>42893</c:v>
                </c:pt>
                <c:pt idx="14">
                  <c:v>42892</c:v>
                </c:pt>
                <c:pt idx="15">
                  <c:v>42891</c:v>
                </c:pt>
                <c:pt idx="16">
                  <c:v>42888</c:v>
                </c:pt>
                <c:pt idx="17">
                  <c:v>42887</c:v>
                </c:pt>
                <c:pt idx="18">
                  <c:v>42886</c:v>
                </c:pt>
                <c:pt idx="19">
                  <c:v>42885</c:v>
                </c:pt>
                <c:pt idx="20">
                  <c:v>42881</c:v>
                </c:pt>
                <c:pt idx="21">
                  <c:v>42880</c:v>
                </c:pt>
                <c:pt idx="22">
                  <c:v>42879</c:v>
                </c:pt>
                <c:pt idx="23">
                  <c:v>42878</c:v>
                </c:pt>
                <c:pt idx="24">
                  <c:v>42877</c:v>
                </c:pt>
                <c:pt idx="25">
                  <c:v>42874</c:v>
                </c:pt>
              </c:numCache>
            </c:numRef>
          </c:cat>
          <c:val>
            <c:numRef>
              <c:f>MACD!$G$2:$G$27</c:f>
              <c:numCache>
                <c:formatCode>General</c:formatCode>
                <c:ptCount val="26"/>
                <c:pt idx="0">
                  <c:v>-8.0141634936524042E-2</c:v>
                </c:pt>
                <c:pt idx="1">
                  <c:v>-0.18629953830196655</c:v>
                </c:pt>
                <c:pt idx="2">
                  <c:v>-0.20504945076766035</c:v>
                </c:pt>
                <c:pt idx="3">
                  <c:v>-0.25552589248539448</c:v>
                </c:pt>
                <c:pt idx="4">
                  <c:v>-0.25412635602353362</c:v>
                </c:pt>
                <c:pt idx="5">
                  <c:v>-0.36675274612460385</c:v>
                </c:pt>
                <c:pt idx="6">
                  <c:v>-0.49397038954634809</c:v>
                </c:pt>
                <c:pt idx="7">
                  <c:v>-0.70414315784756809</c:v>
                </c:pt>
                <c:pt idx="8">
                  <c:v>-0.84404886345609498</c:v>
                </c:pt>
                <c:pt idx="9">
                  <c:v>-0.96859688969158242</c:v>
                </c:pt>
                <c:pt idx="10">
                  <c:v>-1.1582767793275934</c:v>
                </c:pt>
                <c:pt idx="11">
                  <c:v>-1.4782205398546466</c:v>
                </c:pt>
                <c:pt idx="12">
                  <c:v>-1.7551200954385422</c:v>
                </c:pt>
                <c:pt idx="13">
                  <c:v>-1.8793792359047359</c:v>
                </c:pt>
                <c:pt idx="14">
                  <c:v>-1.8966062953956282</c:v>
                </c:pt>
                <c:pt idx="15">
                  <c:v>-2.0325345597582896</c:v>
                </c:pt>
                <c:pt idx="16">
                  <c:v>-2.1805370417664847</c:v>
                </c:pt>
                <c:pt idx="17">
                  <c:v>-2.3010705800130893</c:v>
                </c:pt>
                <c:pt idx="18">
                  <c:v>-2.4845723603930878</c:v>
                </c:pt>
                <c:pt idx="19">
                  <c:v>-2.6785753984723897</c:v>
                </c:pt>
                <c:pt idx="20">
                  <c:v>-2.7955963612794505</c:v>
                </c:pt>
                <c:pt idx="21">
                  <c:v>-2.9816762612800574</c:v>
                </c:pt>
                <c:pt idx="22">
                  <c:v>-3.2481029516622186</c:v>
                </c:pt>
                <c:pt idx="23">
                  <c:v>-3.4706606117258332</c:v>
                </c:pt>
                <c:pt idx="24">
                  <c:v>-3.6553700525819011</c:v>
                </c:pt>
                <c:pt idx="25">
                  <c:v>-3.9000665381461204</c:v>
                </c:pt>
              </c:numCache>
            </c:numRef>
          </c:val>
          <c:smooth val="0"/>
        </c:ser>
        <c:ser>
          <c:idx val="1"/>
          <c:order val="1"/>
          <c:tx>
            <c:v>Avg MACD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42912</c:v>
                </c:pt>
                <c:pt idx="1">
                  <c:v>42909</c:v>
                </c:pt>
                <c:pt idx="2">
                  <c:v>42908</c:v>
                </c:pt>
                <c:pt idx="3">
                  <c:v>42907</c:v>
                </c:pt>
                <c:pt idx="4">
                  <c:v>42906</c:v>
                </c:pt>
                <c:pt idx="5">
                  <c:v>42905</c:v>
                </c:pt>
                <c:pt idx="6">
                  <c:v>42902</c:v>
                </c:pt>
                <c:pt idx="7">
                  <c:v>42901</c:v>
                </c:pt>
                <c:pt idx="8">
                  <c:v>42900</c:v>
                </c:pt>
                <c:pt idx="9">
                  <c:v>42899</c:v>
                </c:pt>
                <c:pt idx="10">
                  <c:v>42898</c:v>
                </c:pt>
                <c:pt idx="11">
                  <c:v>42895</c:v>
                </c:pt>
                <c:pt idx="12">
                  <c:v>42894</c:v>
                </c:pt>
                <c:pt idx="13">
                  <c:v>42893</c:v>
                </c:pt>
                <c:pt idx="14">
                  <c:v>42892</c:v>
                </c:pt>
                <c:pt idx="15">
                  <c:v>42891</c:v>
                </c:pt>
                <c:pt idx="16">
                  <c:v>42888</c:v>
                </c:pt>
                <c:pt idx="17">
                  <c:v>42887</c:v>
                </c:pt>
                <c:pt idx="18">
                  <c:v>42886</c:v>
                </c:pt>
                <c:pt idx="19">
                  <c:v>42885</c:v>
                </c:pt>
                <c:pt idx="20">
                  <c:v>42881</c:v>
                </c:pt>
                <c:pt idx="21">
                  <c:v>42880</c:v>
                </c:pt>
                <c:pt idx="22">
                  <c:v>42879</c:v>
                </c:pt>
                <c:pt idx="23">
                  <c:v>42878</c:v>
                </c:pt>
                <c:pt idx="24">
                  <c:v>42877</c:v>
                </c:pt>
                <c:pt idx="25">
                  <c:v>42874</c:v>
                </c:pt>
              </c:numCache>
            </c:numRef>
          </c:cat>
          <c:val>
            <c:numRef>
              <c:f>MACD!$H$2:$H$27</c:f>
              <c:numCache>
                <c:formatCode>General</c:formatCode>
                <c:ptCount val="26"/>
                <c:pt idx="0">
                  <c:v>-0.58292935319695971</c:v>
                </c:pt>
                <c:pt idx="1">
                  <c:v>-0.72251089157212789</c:v>
                </c:pt>
                <c:pt idx="2">
                  <c:v>-0.86360086637235867</c:v>
                </c:pt>
                <c:pt idx="3">
                  <c:v>-1.0045639367580226</c:v>
                </c:pt>
                <c:pt idx="4">
                  <c:v>-1.1526479923640973</c:v>
                </c:pt>
                <c:pt idx="5">
                  <c:v>-1.3131822161760098</c:v>
                </c:pt>
                <c:pt idx="6">
                  <c:v>-1.4743753690000503</c:v>
                </c:pt>
                <c:pt idx="7">
                  <c:v>-1.6402588665706119</c:v>
                </c:pt>
                <c:pt idx="8">
                  <c:v>-1.8047948866226804</c:v>
                </c:pt>
                <c:pt idx="9">
                  <c:v>-1.9674238447746266</c:v>
                </c:pt>
                <c:pt idx="10">
                  <c:v>-2.1351804590736663</c:v>
                </c:pt>
                <c:pt idx="11">
                  <c:v>-2.3093326401015517</c:v>
                </c:pt>
                <c:pt idx="12">
                  <c:v>-2.4753693127574841</c:v>
                </c:pt>
                <c:pt idx="13">
                  <c:v>-2.6337234758527637</c:v>
                </c:pt>
                <c:pt idx="14">
                  <c:v>-2.8021140843728793</c:v>
                </c:pt>
                <c:pt idx="15">
                  <c:v>-2.9847685592325255</c:v>
                </c:pt>
                <c:pt idx="16">
                  <c:v>-3.1609963644645469</c:v>
                </c:pt>
                <c:pt idx="17">
                  <c:v>-3.3273914220836311</c:v>
                </c:pt>
                <c:pt idx="18">
                  <c:v>-3.5052039052447128</c:v>
                </c:pt>
                <c:pt idx="19">
                  <c:v>-3.6713300845243304</c:v>
                </c:pt>
                <c:pt idx="20">
                  <c:v>-3.8107905763632979</c:v>
                </c:pt>
                <c:pt idx="21">
                  <c:v>-3.9241995593815702</c:v>
                </c:pt>
                <c:pt idx="22">
                  <c:v>-4.001350182903586</c:v>
                </c:pt>
                <c:pt idx="23">
                  <c:v>-4.0323724912355106</c:v>
                </c:pt>
                <c:pt idx="24">
                  <c:v>-4.0177276679369571</c:v>
                </c:pt>
                <c:pt idx="25">
                  <c:v>-3.9662201152719661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lt1">
                  <a:lumMod val="95000"/>
                  <a:alpha val="54000"/>
                </a:schemeClr>
              </a:solidFill>
              <a:prstDash val="dash"/>
            </a:ln>
            <a:effectLst/>
          </c:spPr>
        </c:dropLines>
        <c:smooth val="0"/>
        <c:axId val="642973240"/>
        <c:axId val="642979904"/>
      </c:lineChart>
      <c:dateAx>
        <c:axId val="642973240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979904"/>
        <c:crosses val="autoZero"/>
        <c:auto val="1"/>
        <c:lblOffset val="100"/>
        <c:baseTimeUnit val="days"/>
      </c:dateAx>
      <c:valAx>
        <c:axId val="64297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973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0</xdr:row>
      <xdr:rowOff>104775</xdr:rowOff>
    </xdr:from>
    <xdr:to>
      <xdr:col>17</xdr:col>
      <xdr:colOff>495300</xdr:colOff>
      <xdr:row>14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414337</xdr:colOff>
      <xdr:row>16</xdr:row>
      <xdr:rowOff>76200</xdr:rowOff>
    </xdr:from>
    <xdr:to>
      <xdr:col>18</xdr:col>
      <xdr:colOff>109537</xdr:colOff>
      <xdr:row>31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12</xdr:row>
          <xdr:rowOff>19050</xdr:rowOff>
        </xdr:from>
        <xdr:to>
          <xdr:col>0</xdr:col>
          <xdr:colOff>1733550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MACD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01"/>
  <sheetViews>
    <sheetView tabSelected="1" workbookViewId="0">
      <selection activeCell="D13" sqref="D13"/>
    </sheetView>
  </sheetViews>
  <sheetFormatPr defaultRowHeight="15" x14ac:dyDescent="0.25"/>
  <cols>
    <col min="1" max="1" width="20.5703125" customWidth="1"/>
    <col min="2" max="2" width="1.7109375" customWidth="1"/>
    <col min="3" max="3" width="18.140625" customWidth="1"/>
    <col min="4" max="4" width="16.7109375" bestFit="1" customWidth="1"/>
    <col min="5" max="6" width="12" bestFit="1" customWidth="1"/>
    <col min="8" max="8" width="12" bestFit="1" customWidth="1"/>
    <col min="9" max="9" width="19.140625" bestFit="1" customWidth="1"/>
    <col min="10" max="10" width="15" bestFit="1" customWidth="1"/>
  </cols>
  <sheetData>
    <row r="1" spans="1:13" x14ac:dyDescent="0.25">
      <c r="A1" t="s">
        <v>5</v>
      </c>
      <c r="C1" t="str">
        <f>_xll.QSERIES({"WIKI/IBM/DATE","WIKI/IBM/CLOSE"},,"daily","desc",,52)</f>
        <v>DATE</v>
      </c>
      <c r="D1" t="s">
        <v>10</v>
      </c>
      <c r="E1" t="s">
        <v>1</v>
      </c>
      <c r="F1" t="s">
        <v>2</v>
      </c>
      <c r="G1" t="s">
        <v>0</v>
      </c>
      <c r="H1" t="s">
        <v>6</v>
      </c>
      <c r="I1" t="s">
        <v>7</v>
      </c>
      <c r="J1" t="s">
        <v>8</v>
      </c>
    </row>
    <row r="2" spans="1:13" x14ac:dyDescent="0.25">
      <c r="A2" t="s">
        <v>9</v>
      </c>
      <c r="C2" s="1">
        <v>42912</v>
      </c>
      <c r="D2">
        <v>155.22999999999999</v>
      </c>
      <c r="E2">
        <f t="shared" ref="E2:E51" si="0">$D2*2/27+ $E3*(1-2/27)</f>
        <v>154.33048779719036</v>
      </c>
      <c r="F2">
        <f t="shared" ref="F2:F51" si="1">$D2*2/13+ $F3*(1-2/13)</f>
        <v>154.25034616225383</v>
      </c>
      <c r="G2">
        <f>$F2-$E2</f>
        <v>-8.0141634936524042E-2</v>
      </c>
      <c r="H2">
        <f>AVERAGE($G2:$G13)</f>
        <v>-0.58292935319695971</v>
      </c>
      <c r="I2">
        <f>$E2 + 2 * _xlfn.STDEV.S($E2:$E27)</f>
        <v>156.19131008257696</v>
      </c>
      <c r="J2">
        <f>$E2 - 2 * _xlfn.STDEV.S($E2:$E27)</f>
        <v>152.46966551180375</v>
      </c>
      <c r="M2">
        <f>MIN(D2:D27)</f>
        <v>150.97999999999999</v>
      </c>
    </row>
    <row r="3" spans="1:13" x14ac:dyDescent="0.25">
      <c r="C3" s="1">
        <v>42909</v>
      </c>
      <c r="D3">
        <v>154.11000000000001</v>
      </c>
      <c r="E3">
        <f t="shared" si="0"/>
        <v>154.25852682096559</v>
      </c>
      <c r="F3">
        <f t="shared" si="1"/>
        <v>154.07222728266362</v>
      </c>
      <c r="G3">
        <f t="shared" ref="G3:G53" si="2">$F3-$E3</f>
        <v>-0.18629953830196655</v>
      </c>
      <c r="H3">
        <f t="shared" ref="H3:H41" si="3">AVERAGE($G3:$G14)</f>
        <v>-0.72251089157212789</v>
      </c>
      <c r="I3">
        <f t="shared" ref="I3:I27" si="4">$E3 + 2 * _xlfn.STDEV.S($E3:$E28)</f>
        <v>156.37964252642541</v>
      </c>
      <c r="J3">
        <f t="shared" ref="J3:J27" si="5">$E3 - 2 * _xlfn.STDEV.S($E3:$E28)</f>
        <v>152.13741111550576</v>
      </c>
    </row>
    <row r="4" spans="1:13" x14ac:dyDescent="0.25">
      <c r="A4" t="s">
        <v>3</v>
      </c>
      <c r="C4" s="1">
        <v>42908</v>
      </c>
      <c r="D4">
        <v>154.4</v>
      </c>
      <c r="E4">
        <f t="shared" si="0"/>
        <v>154.27040896664283</v>
      </c>
      <c r="F4">
        <f t="shared" si="1"/>
        <v>154.06535951587517</v>
      </c>
      <c r="G4">
        <f t="shared" si="2"/>
        <v>-0.20504945076766035</v>
      </c>
      <c r="H4">
        <f t="shared" si="3"/>
        <v>-0.86360086637235867</v>
      </c>
      <c r="I4">
        <f t="shared" si="4"/>
        <v>156.69009593559386</v>
      </c>
      <c r="J4">
        <f t="shared" si="5"/>
        <v>151.85072199769181</v>
      </c>
    </row>
    <row r="5" spans="1:13" x14ac:dyDescent="0.25">
      <c r="A5">
        <v>26</v>
      </c>
      <c r="C5" s="1">
        <v>42907</v>
      </c>
      <c r="D5">
        <v>153.79</v>
      </c>
      <c r="E5">
        <f t="shared" si="0"/>
        <v>154.26004168397424</v>
      </c>
      <c r="F5">
        <f t="shared" si="1"/>
        <v>154.00451579148884</v>
      </c>
      <c r="G5">
        <f t="shared" si="2"/>
        <v>-0.25552589248539448</v>
      </c>
      <c r="H5">
        <f t="shared" si="3"/>
        <v>-1.0045639367580226</v>
      </c>
      <c r="I5">
        <f t="shared" si="4"/>
        <v>157.01623933882021</v>
      </c>
      <c r="J5">
        <f t="shared" si="5"/>
        <v>151.50384402912826</v>
      </c>
    </row>
    <row r="6" spans="1:13" x14ac:dyDescent="0.25">
      <c r="C6" s="1">
        <v>42906</v>
      </c>
      <c r="D6">
        <v>154.94999999999999</v>
      </c>
      <c r="E6">
        <f t="shared" si="0"/>
        <v>154.29764501869218</v>
      </c>
      <c r="F6">
        <f t="shared" si="1"/>
        <v>154.04351866266865</v>
      </c>
      <c r="G6">
        <f t="shared" si="2"/>
        <v>-0.25412635602353362</v>
      </c>
      <c r="H6">
        <f t="shared" si="3"/>
        <v>-1.1526479923640973</v>
      </c>
      <c r="I6">
        <f t="shared" si="4"/>
        <v>157.38424935910683</v>
      </c>
      <c r="J6">
        <f t="shared" si="5"/>
        <v>151.21104067827753</v>
      </c>
    </row>
    <row r="7" spans="1:13" x14ac:dyDescent="0.25">
      <c r="A7" t="s">
        <v>4</v>
      </c>
      <c r="C7" s="1">
        <v>42905</v>
      </c>
      <c r="D7">
        <v>154.84</v>
      </c>
      <c r="E7">
        <f t="shared" si="0"/>
        <v>154.24545662018755</v>
      </c>
      <c r="F7">
        <f t="shared" si="1"/>
        <v>153.87870387406295</v>
      </c>
      <c r="G7">
        <f t="shared" si="2"/>
        <v>-0.36675274612460385</v>
      </c>
      <c r="H7">
        <f t="shared" si="3"/>
        <v>-1.3131822161760098</v>
      </c>
      <c r="I7">
        <f t="shared" si="4"/>
        <v>157.69495521704502</v>
      </c>
      <c r="J7">
        <f t="shared" si="5"/>
        <v>150.79595802333009</v>
      </c>
    </row>
    <row r="8" spans="1:13" x14ac:dyDescent="0.25">
      <c r="A8">
        <v>12</v>
      </c>
      <c r="C8" s="1">
        <v>42902</v>
      </c>
      <c r="D8">
        <v>155.38</v>
      </c>
      <c r="E8">
        <f t="shared" si="0"/>
        <v>154.19789314980255</v>
      </c>
      <c r="F8">
        <f t="shared" si="1"/>
        <v>153.70392276025621</v>
      </c>
      <c r="G8">
        <f t="shared" si="2"/>
        <v>-0.49397038954634809</v>
      </c>
      <c r="H8">
        <f t="shared" si="3"/>
        <v>-1.4743753690000503</v>
      </c>
      <c r="I8">
        <f t="shared" si="4"/>
        <v>158.05358480570396</v>
      </c>
      <c r="J8">
        <f t="shared" si="5"/>
        <v>150.34220149390114</v>
      </c>
    </row>
    <row r="9" spans="1:13" x14ac:dyDescent="0.25">
      <c r="C9" s="1">
        <v>42901</v>
      </c>
      <c r="D9">
        <v>154.22</v>
      </c>
      <c r="E9">
        <f t="shared" si="0"/>
        <v>154.10332460178674</v>
      </c>
      <c r="F9">
        <f t="shared" si="1"/>
        <v>153.39918144393917</v>
      </c>
      <c r="G9">
        <f t="shared" si="2"/>
        <v>-0.70414315784756809</v>
      </c>
      <c r="H9">
        <f t="shared" si="3"/>
        <v>-1.6402588665706119</v>
      </c>
      <c r="I9">
        <f t="shared" si="4"/>
        <v>158.40282845901191</v>
      </c>
      <c r="J9">
        <f t="shared" si="5"/>
        <v>149.80382074456156</v>
      </c>
    </row>
    <row r="10" spans="1:13" x14ac:dyDescent="0.25">
      <c r="C10" s="1">
        <v>42900</v>
      </c>
      <c r="D10">
        <v>153.81</v>
      </c>
      <c r="E10">
        <f t="shared" si="0"/>
        <v>154.09399056992967</v>
      </c>
      <c r="F10">
        <f t="shared" si="1"/>
        <v>153.24994170647358</v>
      </c>
      <c r="G10">
        <f t="shared" si="2"/>
        <v>-0.84404886345609498</v>
      </c>
      <c r="H10">
        <f t="shared" si="3"/>
        <v>-1.8047948866226804</v>
      </c>
      <c r="I10">
        <f t="shared" si="4"/>
        <v>158.8613784183035</v>
      </c>
      <c r="J10">
        <f t="shared" si="5"/>
        <v>149.32660272155584</v>
      </c>
    </row>
    <row r="11" spans="1:13" x14ac:dyDescent="0.25">
      <c r="C11" s="1">
        <v>42899</v>
      </c>
      <c r="D11">
        <v>154.25</v>
      </c>
      <c r="E11">
        <f t="shared" si="0"/>
        <v>154.11670981552402</v>
      </c>
      <c r="F11">
        <f t="shared" si="1"/>
        <v>153.14811292583244</v>
      </c>
      <c r="G11">
        <f t="shared" si="2"/>
        <v>-0.96859688969158242</v>
      </c>
      <c r="H11">
        <f t="shared" si="3"/>
        <v>-1.9674238447746266</v>
      </c>
      <c r="I11">
        <f t="shared" si="4"/>
        <v>159.37018149422096</v>
      </c>
      <c r="J11">
        <f t="shared" si="5"/>
        <v>148.86323813682708</v>
      </c>
    </row>
    <row r="12" spans="1:13" x14ac:dyDescent="0.25">
      <c r="C12" s="1">
        <v>42898</v>
      </c>
      <c r="D12">
        <v>155.18</v>
      </c>
      <c r="E12">
        <f t="shared" si="0"/>
        <v>154.10604660076595</v>
      </c>
      <c r="F12">
        <f t="shared" si="1"/>
        <v>152.94776982143836</v>
      </c>
      <c r="G12">
        <f t="shared" si="2"/>
        <v>-1.1582767793275934</v>
      </c>
      <c r="H12">
        <f t="shared" si="3"/>
        <v>-2.1351804590736663</v>
      </c>
      <c r="I12">
        <f t="shared" si="4"/>
        <v>159.85519162576796</v>
      </c>
      <c r="J12">
        <f t="shared" si="5"/>
        <v>148.35690157576394</v>
      </c>
    </row>
    <row r="13" spans="1:13" x14ac:dyDescent="0.25">
      <c r="A13" s="1"/>
      <c r="C13" s="1">
        <v>42895</v>
      </c>
      <c r="D13">
        <v>154.1</v>
      </c>
      <c r="E13">
        <f t="shared" si="0"/>
        <v>154.02013032882724</v>
      </c>
      <c r="F13">
        <f t="shared" si="1"/>
        <v>152.54190978897259</v>
      </c>
      <c r="G13">
        <f t="shared" si="2"/>
        <v>-1.4782205398546466</v>
      </c>
      <c r="H13">
        <f t="shared" si="3"/>
        <v>-2.3093326401015517</v>
      </c>
      <c r="I13">
        <f t="shared" si="4"/>
        <v>160.24687342930491</v>
      </c>
      <c r="J13">
        <f t="shared" si="5"/>
        <v>147.79338722834956</v>
      </c>
    </row>
    <row r="14" spans="1:13" x14ac:dyDescent="0.25">
      <c r="C14" s="1">
        <v>42894</v>
      </c>
      <c r="D14">
        <v>152.1</v>
      </c>
      <c r="E14">
        <f t="shared" si="0"/>
        <v>154.01374075513343</v>
      </c>
      <c r="F14">
        <f t="shared" si="1"/>
        <v>152.25862065969488</v>
      </c>
      <c r="G14">
        <f t="shared" si="2"/>
        <v>-1.7551200954385422</v>
      </c>
      <c r="H14">
        <f t="shared" si="3"/>
        <v>-2.4753693127574841</v>
      </c>
      <c r="I14">
        <f t="shared" si="4"/>
        <v>160.6456646841884</v>
      </c>
      <c r="J14">
        <f t="shared" si="5"/>
        <v>147.38181682607845</v>
      </c>
    </row>
    <row r="15" spans="1:13" x14ac:dyDescent="0.25">
      <c r="C15" s="1">
        <v>42893</v>
      </c>
      <c r="D15">
        <v>150.97999999999999</v>
      </c>
      <c r="E15">
        <f t="shared" si="0"/>
        <v>154.16684001554412</v>
      </c>
      <c r="F15">
        <f t="shared" si="1"/>
        <v>152.28746077963939</v>
      </c>
      <c r="G15">
        <f t="shared" si="2"/>
        <v>-1.8793792359047359</v>
      </c>
      <c r="H15">
        <f t="shared" si="3"/>
        <v>-2.6337234758527637</v>
      </c>
      <c r="I15">
        <f t="shared" si="4"/>
        <v>161.15210294984507</v>
      </c>
      <c r="J15">
        <f t="shared" si="5"/>
        <v>147.18157708124318</v>
      </c>
    </row>
    <row r="16" spans="1:13" x14ac:dyDescent="0.25">
      <c r="C16" s="1">
        <v>42892</v>
      </c>
      <c r="D16">
        <v>152.37</v>
      </c>
      <c r="E16">
        <f t="shared" si="0"/>
        <v>154.42178721678764</v>
      </c>
      <c r="F16">
        <f t="shared" si="1"/>
        <v>152.52518092139201</v>
      </c>
      <c r="G16">
        <f t="shared" si="2"/>
        <v>-1.8966062953956282</v>
      </c>
      <c r="H16">
        <f t="shared" si="3"/>
        <v>-2.8021140843728793</v>
      </c>
      <c r="I16">
        <f t="shared" si="4"/>
        <v>161.72415739166871</v>
      </c>
      <c r="J16">
        <f t="shared" si="5"/>
        <v>147.11941704190656</v>
      </c>
    </row>
    <row r="17" spans="1:10" x14ac:dyDescent="0.25">
      <c r="C17" s="1">
        <v>42891</v>
      </c>
      <c r="D17">
        <v>152.41</v>
      </c>
      <c r="E17">
        <f t="shared" si="0"/>
        <v>154.58593019413064</v>
      </c>
      <c r="F17">
        <f t="shared" si="1"/>
        <v>152.55339563437235</v>
      </c>
      <c r="G17">
        <f t="shared" si="2"/>
        <v>-2.0325345597582896</v>
      </c>
      <c r="H17">
        <f t="shared" si="3"/>
        <v>-2.9847685592325255</v>
      </c>
      <c r="I17">
        <f t="shared" si="4"/>
        <v>162.18792851396077</v>
      </c>
      <c r="J17">
        <f t="shared" si="5"/>
        <v>146.98393187430051</v>
      </c>
    </row>
    <row r="18" spans="1:10" x14ac:dyDescent="0.25">
      <c r="C18" s="1">
        <v>42888</v>
      </c>
      <c r="D18">
        <v>152.05000000000001</v>
      </c>
      <c r="E18">
        <f t="shared" si="0"/>
        <v>154.76000460966108</v>
      </c>
      <c r="F18">
        <f t="shared" si="1"/>
        <v>152.5794675678946</v>
      </c>
      <c r="G18">
        <f t="shared" si="2"/>
        <v>-2.1805370417664847</v>
      </c>
      <c r="H18">
        <f t="shared" si="3"/>
        <v>-3.1609963644645469</v>
      </c>
      <c r="I18">
        <f t="shared" si="4"/>
        <v>162.62351434823839</v>
      </c>
      <c r="J18">
        <f t="shared" si="5"/>
        <v>146.89649487108377</v>
      </c>
    </row>
    <row r="19" spans="1:10" x14ac:dyDescent="0.25">
      <c r="C19" s="1">
        <v>42887</v>
      </c>
      <c r="D19">
        <v>152.66999999999999</v>
      </c>
      <c r="E19">
        <f t="shared" si="0"/>
        <v>154.97680497843396</v>
      </c>
      <c r="F19">
        <f t="shared" si="1"/>
        <v>152.67573439842087</v>
      </c>
      <c r="G19">
        <f t="shared" si="2"/>
        <v>-2.3010705800130893</v>
      </c>
      <c r="H19">
        <f t="shared" si="3"/>
        <v>-3.3273914220836311</v>
      </c>
      <c r="I19">
        <f t="shared" si="4"/>
        <v>163.06870612435191</v>
      </c>
      <c r="J19">
        <f t="shared" si="5"/>
        <v>146.88490383251602</v>
      </c>
    </row>
    <row r="20" spans="1:10" x14ac:dyDescent="0.25">
      <c r="C20" s="1">
        <v>42886</v>
      </c>
      <c r="D20">
        <v>152.63</v>
      </c>
      <c r="E20">
        <f t="shared" si="0"/>
        <v>155.16134937670867</v>
      </c>
      <c r="F20">
        <f t="shared" si="1"/>
        <v>152.67677701631558</v>
      </c>
      <c r="G20">
        <f t="shared" si="2"/>
        <v>-2.4845723603930878</v>
      </c>
      <c r="H20">
        <f t="shared" si="3"/>
        <v>-3.5052039052447128</v>
      </c>
      <c r="I20">
        <f t="shared" si="4"/>
        <v>163.45934314735763</v>
      </c>
      <c r="J20">
        <f t="shared" si="5"/>
        <v>146.86335560605971</v>
      </c>
    </row>
    <row r="21" spans="1:10" x14ac:dyDescent="0.25">
      <c r="C21" s="1">
        <v>42885</v>
      </c>
      <c r="D21">
        <v>151.72999999999999</v>
      </c>
      <c r="E21">
        <f t="shared" si="0"/>
        <v>155.36385732684536</v>
      </c>
      <c r="F21">
        <f t="shared" si="1"/>
        <v>152.68528192837297</v>
      </c>
      <c r="G21">
        <f t="shared" si="2"/>
        <v>-2.6785753984723897</v>
      </c>
      <c r="H21">
        <f t="shared" si="3"/>
        <v>-3.6713300845243304</v>
      </c>
      <c r="I21">
        <f t="shared" si="4"/>
        <v>163.84166990210284</v>
      </c>
      <c r="J21">
        <f t="shared" si="5"/>
        <v>146.88604475158789</v>
      </c>
    </row>
    <row r="22" spans="1:10" x14ac:dyDescent="0.25">
      <c r="A22" s="1"/>
      <c r="C22" s="1">
        <v>42881</v>
      </c>
      <c r="D22">
        <v>152.49</v>
      </c>
      <c r="E22">
        <f t="shared" si="0"/>
        <v>155.65456591299298</v>
      </c>
      <c r="F22">
        <f t="shared" si="1"/>
        <v>152.85896955171353</v>
      </c>
      <c r="G22">
        <f t="shared" si="2"/>
        <v>-2.7955963612794505</v>
      </c>
      <c r="H22">
        <f t="shared" si="3"/>
        <v>-3.8107905763632979</v>
      </c>
      <c r="I22">
        <f t="shared" si="4"/>
        <v>164.28657992420545</v>
      </c>
      <c r="J22">
        <f t="shared" si="5"/>
        <v>147.0225519017805</v>
      </c>
    </row>
    <row r="23" spans="1:10" x14ac:dyDescent="0.25">
      <c r="C23" s="1">
        <v>42880</v>
      </c>
      <c r="D23">
        <v>153.19999999999999</v>
      </c>
      <c r="E23">
        <f t="shared" si="0"/>
        <v>155.90773118603241</v>
      </c>
      <c r="F23">
        <f t="shared" si="1"/>
        <v>152.92605492475235</v>
      </c>
      <c r="G23">
        <f t="shared" si="2"/>
        <v>-2.9816762612800574</v>
      </c>
      <c r="H23">
        <f t="shared" si="3"/>
        <v>-3.9241995593815702</v>
      </c>
      <c r="I23">
        <f t="shared" si="4"/>
        <v>164.68497701533829</v>
      </c>
      <c r="J23">
        <f t="shared" si="5"/>
        <v>147.13048535672652</v>
      </c>
    </row>
    <row r="24" spans="1:10" x14ac:dyDescent="0.25">
      <c r="C24" s="1">
        <v>42879</v>
      </c>
      <c r="D24">
        <v>152.51</v>
      </c>
      <c r="E24">
        <f t="shared" si="0"/>
        <v>156.124349680915</v>
      </c>
      <c r="F24">
        <f t="shared" si="1"/>
        <v>152.87624672925278</v>
      </c>
      <c r="G24">
        <f t="shared" si="2"/>
        <v>-3.2481029516622186</v>
      </c>
      <c r="H24">
        <f t="shared" si="3"/>
        <v>-4.001350182903586</v>
      </c>
      <c r="I24">
        <f t="shared" si="4"/>
        <v>165.01644527594149</v>
      </c>
      <c r="J24">
        <f t="shared" si="5"/>
        <v>147.23225408588851</v>
      </c>
    </row>
    <row r="25" spans="1:10" x14ac:dyDescent="0.25">
      <c r="C25" s="1">
        <v>42878</v>
      </c>
      <c r="D25">
        <v>152.03</v>
      </c>
      <c r="E25">
        <f t="shared" si="0"/>
        <v>156.4134976553882</v>
      </c>
      <c r="F25">
        <f t="shared" si="1"/>
        <v>152.94283704366237</v>
      </c>
      <c r="G25">
        <f t="shared" si="2"/>
        <v>-3.4706606117258332</v>
      </c>
      <c r="H25">
        <f t="shared" si="3"/>
        <v>-4.0323724912355106</v>
      </c>
      <c r="I25">
        <f t="shared" si="4"/>
        <v>165.39427715376547</v>
      </c>
      <c r="J25">
        <f t="shared" si="5"/>
        <v>147.43271815701092</v>
      </c>
    </row>
    <row r="26" spans="1:10" x14ac:dyDescent="0.25">
      <c r="C26" s="1">
        <v>42877</v>
      </c>
      <c r="D26">
        <v>152.63999999999999</v>
      </c>
      <c r="E26">
        <f t="shared" si="0"/>
        <v>156.76417746781922</v>
      </c>
      <c r="F26">
        <f t="shared" si="1"/>
        <v>153.10880741523732</v>
      </c>
      <c r="G26">
        <f t="shared" si="2"/>
        <v>-3.6553700525819011</v>
      </c>
      <c r="H26">
        <f t="shared" si="3"/>
        <v>-4.0177276679369571</v>
      </c>
      <c r="I26">
        <f t="shared" si="4"/>
        <v>165.7341578994357</v>
      </c>
      <c r="J26">
        <f t="shared" si="5"/>
        <v>147.79419703620275</v>
      </c>
    </row>
    <row r="27" spans="1:10" x14ac:dyDescent="0.25">
      <c r="A27" s="2"/>
      <c r="C27" s="1">
        <v>42874</v>
      </c>
      <c r="D27">
        <v>151.97999999999999</v>
      </c>
      <c r="E27">
        <f t="shared" si="0"/>
        <v>157.09411166524475</v>
      </c>
      <c r="F27">
        <f t="shared" si="1"/>
        <v>153.19404512709863</v>
      </c>
      <c r="G27">
        <f t="shared" si="2"/>
        <v>-3.9000665381461204</v>
      </c>
      <c r="H27">
        <f t="shared" si="3"/>
        <v>-3.9662201152719661</v>
      </c>
      <c r="I27">
        <f t="shared" si="4"/>
        <v>165.95865707062711</v>
      </c>
      <c r="J27">
        <f t="shared" si="5"/>
        <v>148.22956625986239</v>
      </c>
    </row>
    <row r="28" spans="1:10" x14ac:dyDescent="0.25">
      <c r="A28" s="1"/>
      <c r="C28" s="1">
        <v>42873</v>
      </c>
      <c r="D28">
        <v>150.78</v>
      </c>
      <c r="E28">
        <f t="shared" si="0"/>
        <v>157.50324059846432</v>
      </c>
      <c r="F28">
        <f t="shared" si="1"/>
        <v>153.41478060475293</v>
      </c>
      <c r="G28">
        <f t="shared" si="2"/>
        <v>-4.0884599937113819</v>
      </c>
      <c r="H28">
        <f t="shared" si="3"/>
        <v>-3.897175152436207</v>
      </c>
      <c r="I28">
        <f t="shared" ref="I3:I41" si="6">$E28 + 2 * _xlfn.STDEV.S($E28:$E67)</f>
        <v>166.18342149661612</v>
      </c>
      <c r="J28">
        <f t="shared" ref="J3:J41" si="7">$E28 - 2 * _xlfn.STDEV.S($E28:$E67)</f>
        <v>148.82305970031251</v>
      </c>
    </row>
    <row r="29" spans="1:10" x14ac:dyDescent="0.25">
      <c r="A29" s="1"/>
      <c r="C29" s="1">
        <v>42872</v>
      </c>
      <c r="D29">
        <v>150.93</v>
      </c>
      <c r="E29">
        <f t="shared" si="0"/>
        <v>158.04109984634147</v>
      </c>
      <c r="F29">
        <f t="shared" si="1"/>
        <v>153.89383162379892</v>
      </c>
      <c r="G29">
        <f t="shared" si="2"/>
        <v>-4.1472682225425501</v>
      </c>
      <c r="H29">
        <f t="shared" si="3"/>
        <v>-3.8087867309873764</v>
      </c>
      <c r="I29">
        <f t="shared" si="6"/>
        <v>166.35042657115727</v>
      </c>
      <c r="J29">
        <f t="shared" si="7"/>
        <v>149.73177312152566</v>
      </c>
    </row>
    <row r="30" spans="1:10" x14ac:dyDescent="0.25">
      <c r="A30" s="1"/>
      <c r="C30" s="1">
        <v>42871</v>
      </c>
      <c r="D30">
        <v>153.68</v>
      </c>
      <c r="E30">
        <f t="shared" si="0"/>
        <v>158.60998783404878</v>
      </c>
      <c r="F30">
        <f t="shared" si="1"/>
        <v>154.43271010085328</v>
      </c>
      <c r="G30">
        <f t="shared" si="2"/>
        <v>-4.1772777331954956</v>
      </c>
      <c r="H30">
        <f t="shared" si="3"/>
        <v>-3.7111643690995351</v>
      </c>
      <c r="I30">
        <f t="shared" si="6"/>
        <v>166.53581897225541</v>
      </c>
      <c r="J30">
        <f t="shared" si="7"/>
        <v>150.68415669584215</v>
      </c>
    </row>
    <row r="31" spans="1:10" x14ac:dyDescent="0.25">
      <c r="A31" s="1"/>
      <c r="C31" s="1">
        <v>42870</v>
      </c>
      <c r="D31">
        <v>151.51</v>
      </c>
      <c r="E31">
        <f t="shared" si="0"/>
        <v>159.00438686077268</v>
      </c>
      <c r="F31">
        <f t="shared" si="1"/>
        <v>154.56956648282662</v>
      </c>
      <c r="G31">
        <f t="shared" si="2"/>
        <v>-4.4348203779460675</v>
      </c>
      <c r="H31">
        <f t="shared" si="3"/>
        <v>-3.5996973151636689</v>
      </c>
      <c r="I31">
        <f t="shared" si="6"/>
        <v>166.53639851355064</v>
      </c>
      <c r="J31">
        <f t="shared" si="7"/>
        <v>151.47237520799473</v>
      </c>
    </row>
    <row r="32" spans="1:10" x14ac:dyDescent="0.25">
      <c r="A32" s="1"/>
      <c r="C32" s="1">
        <v>42867</v>
      </c>
      <c r="D32">
        <v>150.37</v>
      </c>
      <c r="E32">
        <f t="shared" si="0"/>
        <v>159.60393780963452</v>
      </c>
      <c r="F32">
        <f t="shared" si="1"/>
        <v>155.12585129788602</v>
      </c>
      <c r="G32">
        <f t="shared" si="2"/>
        <v>-4.4780865117485007</v>
      </c>
      <c r="H32">
        <f t="shared" si="3"/>
        <v>-3.4611504356770859</v>
      </c>
      <c r="I32">
        <f t="shared" si="6"/>
        <v>166.69664247877779</v>
      </c>
      <c r="J32">
        <f t="shared" si="7"/>
        <v>152.51123314049124</v>
      </c>
    </row>
    <row r="33" spans="1:10" x14ac:dyDescent="0.25">
      <c r="A33" s="1"/>
      <c r="C33" s="1">
        <v>42866</v>
      </c>
      <c r="D33">
        <v>150.65</v>
      </c>
      <c r="E33">
        <f t="shared" si="0"/>
        <v>160.3426528344053</v>
      </c>
      <c r="F33">
        <f t="shared" si="1"/>
        <v>155.9905515338653</v>
      </c>
      <c r="G33">
        <f t="shared" si="2"/>
        <v>-4.3521013005399993</v>
      </c>
      <c r="H33">
        <f t="shared" si="3"/>
        <v>-3.308721745583147</v>
      </c>
      <c r="I33">
        <f t="shared" si="6"/>
        <v>166.97812212943617</v>
      </c>
      <c r="J33">
        <f t="shared" si="7"/>
        <v>153.70718353937443</v>
      </c>
    </row>
    <row r="34" spans="1:10" x14ac:dyDescent="0.25">
      <c r="A34" s="1"/>
      <c r="C34" s="1">
        <v>42865</v>
      </c>
      <c r="D34">
        <v>151.25</v>
      </c>
      <c r="E34">
        <f t="shared" si="0"/>
        <v>161.11806506115769</v>
      </c>
      <c r="F34">
        <f t="shared" si="1"/>
        <v>156.96156090365898</v>
      </c>
      <c r="G34">
        <f t="shared" si="2"/>
        <v>-4.1565041574987163</v>
      </c>
      <c r="H34">
        <f t="shared" si="3"/>
        <v>-3.148258628472945</v>
      </c>
      <c r="I34">
        <f t="shared" si="6"/>
        <v>167.30368845162715</v>
      </c>
      <c r="J34">
        <f t="shared" si="7"/>
        <v>154.93244167068823</v>
      </c>
    </row>
    <row r="35" spans="1:10" x14ac:dyDescent="0.25">
      <c r="A35" s="1"/>
      <c r="C35" s="1">
        <v>42864</v>
      </c>
      <c r="D35">
        <v>152.11000000000001</v>
      </c>
      <c r="E35">
        <f t="shared" si="0"/>
        <v>161.90751026605031</v>
      </c>
      <c r="F35">
        <f t="shared" si="1"/>
        <v>158.00002652250606</v>
      </c>
      <c r="G35">
        <f t="shared" si="2"/>
        <v>-3.9074837435442475</v>
      </c>
      <c r="H35">
        <f t="shared" si="3"/>
        <v>-2.9802989122805599</v>
      </c>
      <c r="I35">
        <f t="shared" si="6"/>
        <v>167.6623522281763</v>
      </c>
      <c r="J35">
        <f t="shared" si="7"/>
        <v>156.15266830392432</v>
      </c>
    </row>
    <row r="36" spans="1:10" x14ac:dyDescent="0.25">
      <c r="A36" s="1"/>
      <c r="C36" s="1">
        <v>42863</v>
      </c>
      <c r="D36">
        <v>153.03</v>
      </c>
      <c r="E36">
        <f t="shared" si="0"/>
        <v>162.69131108733433</v>
      </c>
      <c r="F36">
        <f t="shared" si="1"/>
        <v>159.07094043568901</v>
      </c>
      <c r="G36">
        <f t="shared" si="2"/>
        <v>-3.6203706516453167</v>
      </c>
      <c r="H36">
        <f t="shared" si="3"/>
        <v>-2.8031774964042575</v>
      </c>
      <c r="I36">
        <f t="shared" si="6"/>
        <v>168.04485494458956</v>
      </c>
      <c r="J36">
        <f t="shared" si="7"/>
        <v>157.33776723007909</v>
      </c>
    </row>
    <row r="37" spans="1:10" x14ac:dyDescent="0.25">
      <c r="A37" s="1"/>
      <c r="C37" s="1">
        <v>42860</v>
      </c>
      <c r="D37">
        <v>155.05000000000001</v>
      </c>
      <c r="E37">
        <f t="shared" si="0"/>
        <v>163.46421597432109</v>
      </c>
      <c r="F37">
        <f t="shared" si="1"/>
        <v>160.1692932421779</v>
      </c>
      <c r="G37">
        <f t="shared" si="2"/>
        <v>-3.294922732143192</v>
      </c>
      <c r="H37">
        <f t="shared" si="3"/>
        <v>-2.6065023680714154</v>
      </c>
      <c r="I37">
        <f t="shared" si="6"/>
        <v>168.45486093356308</v>
      </c>
      <c r="J37">
        <f t="shared" si="7"/>
        <v>158.4735710150791</v>
      </c>
    </row>
    <row r="38" spans="1:10" x14ac:dyDescent="0.25">
      <c r="A38" s="1"/>
      <c r="C38" s="1">
        <v>42859</v>
      </c>
      <c r="D38">
        <v>159.05000000000001</v>
      </c>
      <c r="E38">
        <f t="shared" si="0"/>
        <v>164.13735325226679</v>
      </c>
      <c r="F38">
        <f t="shared" si="1"/>
        <v>161.10007383166479</v>
      </c>
      <c r="G38">
        <f t="shared" si="2"/>
        <v>-3.0372794206020046</v>
      </c>
      <c r="H38">
        <f t="shared" si="3"/>
        <v>-2.3962151698273622</v>
      </c>
      <c r="I38">
        <f t="shared" si="6"/>
        <v>168.8134664439217</v>
      </c>
      <c r="J38">
        <f t="shared" si="7"/>
        <v>159.46124006061189</v>
      </c>
    </row>
    <row r="39" spans="1:10" x14ac:dyDescent="0.25">
      <c r="A39" s="1"/>
      <c r="C39" s="1">
        <v>42858</v>
      </c>
      <c r="D39">
        <v>158.63</v>
      </c>
      <c r="E39">
        <f t="shared" si="0"/>
        <v>164.54434151244814</v>
      </c>
      <c r="F39">
        <f t="shared" si="1"/>
        <v>161.47281452833113</v>
      </c>
      <c r="G39">
        <f t="shared" si="2"/>
        <v>-3.0715269841170141</v>
      </c>
      <c r="H39">
        <f t="shared" si="3"/>
        <v>-2.1492975919014015</v>
      </c>
      <c r="I39">
        <f t="shared" si="6"/>
        <v>168.94402425793217</v>
      </c>
      <c r="J39">
        <f t="shared" si="7"/>
        <v>160.14465876696411</v>
      </c>
    </row>
    <row r="40" spans="1:10" x14ac:dyDescent="0.25">
      <c r="A40" s="1"/>
      <c r="C40" s="1">
        <v>42857</v>
      </c>
      <c r="D40">
        <v>159.1</v>
      </c>
      <c r="E40">
        <f t="shared" si="0"/>
        <v>165.01748883344399</v>
      </c>
      <c r="F40">
        <f t="shared" si="1"/>
        <v>161.98968989711858</v>
      </c>
      <c r="G40">
        <f t="shared" si="2"/>
        <v>-3.0277989363254108</v>
      </c>
      <c r="H40">
        <f t="shared" si="3"/>
        <v>-1.8962117971633983</v>
      </c>
      <c r="I40">
        <f t="shared" si="6"/>
        <v>169.11964005087424</v>
      </c>
      <c r="J40">
        <f t="shared" si="7"/>
        <v>160.91533761601374</v>
      </c>
    </row>
    <row r="41" spans="1:10" x14ac:dyDescent="0.25">
      <c r="A41" s="1"/>
      <c r="C41" s="1">
        <v>42856</v>
      </c>
      <c r="D41">
        <v>158.84</v>
      </c>
      <c r="E41">
        <f t="shared" si="0"/>
        <v>165.49088794011951</v>
      </c>
      <c r="F41">
        <f t="shared" si="1"/>
        <v>162.51508806023105</v>
      </c>
      <c r="G41">
        <f t="shared" si="2"/>
        <v>-2.9757998798884557</v>
      </c>
      <c r="H41">
        <f t="shared" si="3"/>
        <v>-1.651407089981485</v>
      </c>
      <c r="I41">
        <f t="shared" si="6"/>
        <v>169.28523628315523</v>
      </c>
      <c r="J41">
        <f t="shared" si="7"/>
        <v>161.69653959708378</v>
      </c>
    </row>
    <row r="42" spans="1:10" x14ac:dyDescent="0.25">
      <c r="A42" s="1"/>
      <c r="C42" s="1">
        <v>42853</v>
      </c>
      <c r="D42">
        <v>160.29</v>
      </c>
      <c r="E42">
        <f t="shared" si="0"/>
        <v>166.02295897532906</v>
      </c>
      <c r="F42">
        <f t="shared" si="1"/>
        <v>163.18328588936396</v>
      </c>
      <c r="G42">
        <f t="shared" si="2"/>
        <v>-2.8396730859651029</v>
      </c>
      <c r="I42">
        <f t="shared" ref="I3:I51" si="8">$E42 + 2 * _xlfn.STDEV.S($E42:$E91)</f>
        <v>169.49454807978344</v>
      </c>
      <c r="J42">
        <f t="shared" ref="J3:J51" si="9">$E42 - 2 * _xlfn.STDEV.S($E42:$E91)</f>
        <v>162.55136987087468</v>
      </c>
    </row>
    <row r="43" spans="1:10" x14ac:dyDescent="0.25">
      <c r="A43" s="1"/>
      <c r="C43" s="1">
        <v>42852</v>
      </c>
      <c r="D43">
        <v>160.32</v>
      </c>
      <c r="E43">
        <f t="shared" si="0"/>
        <v>166.48159569335539</v>
      </c>
      <c r="F43">
        <f t="shared" si="1"/>
        <v>163.70933786924832</v>
      </c>
      <c r="G43">
        <f t="shared" si="2"/>
        <v>-2.7722578241070721</v>
      </c>
      <c r="I43">
        <f t="shared" si="8"/>
        <v>169.63048319537751</v>
      </c>
      <c r="J43">
        <f t="shared" si="9"/>
        <v>163.33270819133327</v>
      </c>
    </row>
    <row r="44" spans="1:10" x14ac:dyDescent="0.25">
      <c r="A44" s="1"/>
      <c r="C44" s="1">
        <v>42851</v>
      </c>
      <c r="D44">
        <v>160.06</v>
      </c>
      <c r="E44">
        <f t="shared" si="0"/>
        <v>166.97452334882379</v>
      </c>
      <c r="F44">
        <f t="shared" si="1"/>
        <v>164.32558111820256</v>
      </c>
      <c r="G44">
        <f t="shared" si="2"/>
        <v>-2.6489422306212305</v>
      </c>
      <c r="I44">
        <f t="shared" si="8"/>
        <v>169.76963738557964</v>
      </c>
      <c r="J44">
        <f t="shared" si="9"/>
        <v>164.17940931206795</v>
      </c>
    </row>
    <row r="45" spans="1:10" x14ac:dyDescent="0.25">
      <c r="A45" s="1"/>
      <c r="C45" s="1">
        <v>42850</v>
      </c>
      <c r="D45">
        <v>160.38999999999999</v>
      </c>
      <c r="E45">
        <f t="shared" si="0"/>
        <v>167.52768521672968</v>
      </c>
      <c r="F45">
        <f t="shared" si="1"/>
        <v>165.1011413215121</v>
      </c>
      <c r="G45">
        <f t="shared" si="2"/>
        <v>-2.4265438952175771</v>
      </c>
      <c r="I45">
        <f t="shared" si="8"/>
        <v>169.93402109448687</v>
      </c>
      <c r="J45">
        <f t="shared" si="9"/>
        <v>165.12134933897249</v>
      </c>
    </row>
    <row r="46" spans="1:10" x14ac:dyDescent="0.25">
      <c r="A46" s="1"/>
      <c r="C46" s="1">
        <v>42849</v>
      </c>
      <c r="D46">
        <v>160.75</v>
      </c>
      <c r="E46">
        <f t="shared" si="0"/>
        <v>168.09870003406803</v>
      </c>
      <c r="F46">
        <f t="shared" si="1"/>
        <v>165.95771247087794</v>
      </c>
      <c r="G46">
        <f t="shared" si="2"/>
        <v>-2.1409875631900945</v>
      </c>
      <c r="I46">
        <f t="shared" si="8"/>
        <v>170.09191987166361</v>
      </c>
      <c r="J46">
        <f t="shared" si="9"/>
        <v>166.10548019647246</v>
      </c>
    </row>
    <row r="47" spans="1:10" x14ac:dyDescent="0.25">
      <c r="A47" s="1"/>
      <c r="C47" s="1">
        <v>42846</v>
      </c>
      <c r="D47">
        <v>160.38</v>
      </c>
      <c r="E47">
        <f t="shared" si="0"/>
        <v>168.68659603679347</v>
      </c>
      <c r="F47">
        <f t="shared" si="1"/>
        <v>166.90456928376486</v>
      </c>
      <c r="G47">
        <f t="shared" si="2"/>
        <v>-1.7820267530286173</v>
      </c>
      <c r="I47">
        <f t="shared" si="8"/>
        <v>170.23741115407614</v>
      </c>
      <c r="J47">
        <f t="shared" si="9"/>
        <v>167.13578091951081</v>
      </c>
    </row>
    <row r="48" spans="1:10" x14ac:dyDescent="0.25">
      <c r="A48" s="1"/>
      <c r="C48" s="1">
        <v>42845</v>
      </c>
      <c r="D48">
        <v>162.30000000000001</v>
      </c>
      <c r="E48">
        <f t="shared" si="0"/>
        <v>169.35112371973696</v>
      </c>
      <c r="F48">
        <f t="shared" si="1"/>
        <v>168.09085460808575</v>
      </c>
      <c r="G48">
        <f t="shared" si="2"/>
        <v>-1.2602691116512119</v>
      </c>
      <c r="I48">
        <f t="shared" si="8"/>
        <v>170.41932622576601</v>
      </c>
      <c r="J48">
        <f t="shared" si="9"/>
        <v>168.28292121370791</v>
      </c>
    </row>
    <row r="49" spans="1:10" x14ac:dyDescent="0.25">
      <c r="A49" s="1"/>
      <c r="C49" s="1">
        <v>42844</v>
      </c>
      <c r="D49">
        <v>161.69</v>
      </c>
      <c r="E49">
        <f t="shared" si="0"/>
        <v>169.91521361731591</v>
      </c>
      <c r="F49">
        <f t="shared" si="1"/>
        <v>169.14373726410136</v>
      </c>
      <c r="G49">
        <f t="shared" si="2"/>
        <v>-0.77147635321455255</v>
      </c>
      <c r="I49">
        <f t="shared" si="8"/>
        <v>170.53720524945609</v>
      </c>
      <c r="J49">
        <f t="shared" si="9"/>
        <v>169.29322198517573</v>
      </c>
    </row>
    <row r="50" spans="1:10" x14ac:dyDescent="0.25">
      <c r="A50" s="1"/>
      <c r="C50" s="1">
        <v>42843</v>
      </c>
      <c r="D50">
        <v>170.05</v>
      </c>
      <c r="E50">
        <f t="shared" si="0"/>
        <v>170.5732307067012</v>
      </c>
      <c r="F50">
        <f t="shared" si="1"/>
        <v>170.49896222121072</v>
      </c>
      <c r="G50">
        <f t="shared" si="2"/>
        <v>-7.4268485490478042E-2</v>
      </c>
      <c r="I50">
        <f t="shared" si="8"/>
        <v>170.65450927763817</v>
      </c>
      <c r="J50">
        <f t="shared" si="9"/>
        <v>170.49195213576422</v>
      </c>
    </row>
    <row r="51" spans="1:10" x14ac:dyDescent="0.25">
      <c r="A51" s="1"/>
      <c r="C51" s="1">
        <v>42842</v>
      </c>
      <c r="D51">
        <v>171.1</v>
      </c>
      <c r="E51">
        <f t="shared" si="0"/>
        <v>170.61508916323729</v>
      </c>
      <c r="F51">
        <f t="shared" si="1"/>
        <v>170.58059171597631</v>
      </c>
      <c r="G51">
        <f t="shared" si="2"/>
        <v>-3.4497447260974923E-2</v>
      </c>
      <c r="I51">
        <f t="shared" si="8"/>
        <v>170.69886736166603</v>
      </c>
      <c r="J51">
        <f t="shared" si="9"/>
        <v>170.53131096480854</v>
      </c>
    </row>
    <row r="52" spans="1:10" x14ac:dyDescent="0.25">
      <c r="A52" s="1"/>
      <c r="C52" s="1">
        <v>42838</v>
      </c>
      <c r="D52">
        <v>169.53</v>
      </c>
      <c r="E52">
        <f>$D52*2/27+ $E53*(1-2/27)</f>
        <v>170.57629629629628</v>
      </c>
      <c r="F52">
        <f>$D52*2/13+ $F53*(1-2/13)</f>
        <v>170.48615384615383</v>
      </c>
      <c r="G52">
        <f t="shared" si="2"/>
        <v>-9.014245014245148E-2</v>
      </c>
      <c r="I52">
        <f t="shared" ref="I3:I66" si="10">$E52 + 2 * _xlfn.STDEV.S($E52:$E251)</f>
        <v>170.69467120929494</v>
      </c>
      <c r="J52">
        <f t="shared" ref="J3:J66" si="11">$E52 - 2 * _xlfn.STDEV.S($E52:$E251)</f>
        <v>170.45792138329762</v>
      </c>
    </row>
    <row r="53" spans="1:10" x14ac:dyDescent="0.25">
      <c r="A53" s="1"/>
      <c r="C53" s="1">
        <v>42837</v>
      </c>
      <c r="D53">
        <v>170.66</v>
      </c>
      <c r="E53">
        <f>AVERAGE($D$53:$D$78)</f>
        <v>170.66</v>
      </c>
      <c r="F53">
        <f>AVERAGE($D$53:$D$64)</f>
        <v>170.66</v>
      </c>
      <c r="G53">
        <f t="shared" si="2"/>
        <v>0</v>
      </c>
      <c r="I53" t="e">
        <f t="shared" si="10"/>
        <v>#DIV/0!</v>
      </c>
      <c r="J53" t="e">
        <f t="shared" si="11"/>
        <v>#DIV/0!</v>
      </c>
    </row>
    <row r="54" spans="1:10" x14ac:dyDescent="0.25">
      <c r="A54" s="1"/>
      <c r="I54" t="e">
        <f t="shared" si="10"/>
        <v>#DIV/0!</v>
      </c>
      <c r="J54" t="e">
        <f t="shared" si="11"/>
        <v>#DIV/0!</v>
      </c>
    </row>
    <row r="55" spans="1:10" x14ac:dyDescent="0.25">
      <c r="A55" s="1"/>
      <c r="I55" t="e">
        <f t="shared" si="10"/>
        <v>#DIV/0!</v>
      </c>
      <c r="J55" t="e">
        <f t="shared" si="11"/>
        <v>#DIV/0!</v>
      </c>
    </row>
    <row r="56" spans="1:10" x14ac:dyDescent="0.25">
      <c r="A56" s="1"/>
      <c r="I56" t="e">
        <f t="shared" si="10"/>
        <v>#DIV/0!</v>
      </c>
      <c r="J56" t="e">
        <f t="shared" si="11"/>
        <v>#DIV/0!</v>
      </c>
    </row>
    <row r="57" spans="1:10" x14ac:dyDescent="0.25">
      <c r="A57" s="1"/>
      <c r="I57" t="e">
        <f t="shared" si="10"/>
        <v>#DIV/0!</v>
      </c>
      <c r="J57" t="e">
        <f t="shared" si="11"/>
        <v>#DIV/0!</v>
      </c>
    </row>
    <row r="58" spans="1:10" x14ac:dyDescent="0.25">
      <c r="A58" s="1"/>
      <c r="I58" t="e">
        <f t="shared" si="10"/>
        <v>#DIV/0!</v>
      </c>
      <c r="J58" t="e">
        <f t="shared" si="11"/>
        <v>#DIV/0!</v>
      </c>
    </row>
    <row r="59" spans="1:10" x14ac:dyDescent="0.25">
      <c r="A59" s="1"/>
      <c r="I59" t="e">
        <f t="shared" si="10"/>
        <v>#DIV/0!</v>
      </c>
      <c r="J59" t="e">
        <f t="shared" si="11"/>
        <v>#DIV/0!</v>
      </c>
    </row>
    <row r="60" spans="1:10" x14ac:dyDescent="0.25">
      <c r="A60" s="1"/>
      <c r="I60" t="e">
        <f t="shared" si="10"/>
        <v>#DIV/0!</v>
      </c>
      <c r="J60" t="e">
        <f t="shared" si="11"/>
        <v>#DIV/0!</v>
      </c>
    </row>
    <row r="61" spans="1:10" x14ac:dyDescent="0.25">
      <c r="A61" s="1"/>
      <c r="I61" t="e">
        <f t="shared" si="10"/>
        <v>#DIV/0!</v>
      </c>
      <c r="J61" t="e">
        <f t="shared" si="11"/>
        <v>#DIV/0!</v>
      </c>
    </row>
    <row r="62" spans="1:10" x14ac:dyDescent="0.25">
      <c r="A62" s="1"/>
      <c r="I62" t="e">
        <f t="shared" si="10"/>
        <v>#DIV/0!</v>
      </c>
      <c r="J62" t="e">
        <f t="shared" si="11"/>
        <v>#DIV/0!</v>
      </c>
    </row>
    <row r="63" spans="1:10" x14ac:dyDescent="0.25">
      <c r="A63" s="1"/>
      <c r="I63" t="e">
        <f t="shared" si="10"/>
        <v>#DIV/0!</v>
      </c>
      <c r="J63" t="e">
        <f t="shared" si="11"/>
        <v>#DIV/0!</v>
      </c>
    </row>
    <row r="64" spans="1:10" x14ac:dyDescent="0.25">
      <c r="A64" s="1"/>
      <c r="I64" t="e">
        <f t="shared" si="10"/>
        <v>#DIV/0!</v>
      </c>
      <c r="J64" t="e">
        <f t="shared" si="11"/>
        <v>#DIV/0!</v>
      </c>
    </row>
    <row r="65" spans="1:10" x14ac:dyDescent="0.25">
      <c r="A65" s="1"/>
      <c r="I65" t="e">
        <f t="shared" si="10"/>
        <v>#DIV/0!</v>
      </c>
      <c r="J65" t="e">
        <f t="shared" si="11"/>
        <v>#DIV/0!</v>
      </c>
    </row>
    <row r="66" spans="1:10" x14ac:dyDescent="0.25">
      <c r="A66" s="1"/>
      <c r="I66" t="e">
        <f t="shared" si="10"/>
        <v>#DIV/0!</v>
      </c>
      <c r="J66" t="e">
        <f t="shared" si="11"/>
        <v>#DIV/0!</v>
      </c>
    </row>
    <row r="67" spans="1:10" x14ac:dyDescent="0.25">
      <c r="A67" s="1"/>
      <c r="I67" t="e">
        <f t="shared" ref="I67:I130" si="12">$E67 + 2 * _xlfn.STDEV.S($E67:$E266)</f>
        <v>#DIV/0!</v>
      </c>
      <c r="J67" t="e">
        <f t="shared" ref="J67:J130" si="13">$E67 - 2 * _xlfn.STDEV.S($E67:$E266)</f>
        <v>#DIV/0!</v>
      </c>
    </row>
    <row r="68" spans="1:10" x14ac:dyDescent="0.25">
      <c r="A68" s="1"/>
      <c r="I68" t="e">
        <f t="shared" si="12"/>
        <v>#DIV/0!</v>
      </c>
      <c r="J68" t="e">
        <f t="shared" si="13"/>
        <v>#DIV/0!</v>
      </c>
    </row>
    <row r="69" spans="1:10" x14ac:dyDescent="0.25">
      <c r="A69" s="1"/>
      <c r="I69" t="e">
        <f t="shared" si="12"/>
        <v>#DIV/0!</v>
      </c>
      <c r="J69" t="e">
        <f t="shared" si="13"/>
        <v>#DIV/0!</v>
      </c>
    </row>
    <row r="70" spans="1:10" x14ac:dyDescent="0.25">
      <c r="A70" s="1"/>
      <c r="I70" t="e">
        <f t="shared" si="12"/>
        <v>#DIV/0!</v>
      </c>
      <c r="J70" t="e">
        <f t="shared" si="13"/>
        <v>#DIV/0!</v>
      </c>
    </row>
    <row r="71" spans="1:10" x14ac:dyDescent="0.25">
      <c r="A71" s="1"/>
      <c r="I71" t="e">
        <f t="shared" si="12"/>
        <v>#DIV/0!</v>
      </c>
      <c r="J71" t="e">
        <f t="shared" si="13"/>
        <v>#DIV/0!</v>
      </c>
    </row>
    <row r="72" spans="1:10" x14ac:dyDescent="0.25">
      <c r="A72" s="1"/>
      <c r="I72" t="e">
        <f t="shared" si="12"/>
        <v>#DIV/0!</v>
      </c>
      <c r="J72" t="e">
        <f t="shared" si="13"/>
        <v>#DIV/0!</v>
      </c>
    </row>
    <row r="73" spans="1:10" x14ac:dyDescent="0.25">
      <c r="A73" s="1"/>
      <c r="I73" t="e">
        <f t="shared" si="12"/>
        <v>#DIV/0!</v>
      </c>
      <c r="J73" t="e">
        <f t="shared" si="13"/>
        <v>#DIV/0!</v>
      </c>
    </row>
    <row r="74" spans="1:10" x14ac:dyDescent="0.25">
      <c r="A74" s="1"/>
      <c r="I74" t="e">
        <f t="shared" si="12"/>
        <v>#DIV/0!</v>
      </c>
      <c r="J74" t="e">
        <f t="shared" si="13"/>
        <v>#DIV/0!</v>
      </c>
    </row>
    <row r="75" spans="1:10" x14ac:dyDescent="0.25">
      <c r="A75" s="1"/>
      <c r="I75" t="e">
        <f t="shared" si="12"/>
        <v>#DIV/0!</v>
      </c>
      <c r="J75" t="e">
        <f t="shared" si="13"/>
        <v>#DIV/0!</v>
      </c>
    </row>
    <row r="76" spans="1:10" x14ac:dyDescent="0.25">
      <c r="A76" s="1"/>
      <c r="I76" t="e">
        <f t="shared" si="12"/>
        <v>#DIV/0!</v>
      </c>
      <c r="J76" t="e">
        <f t="shared" si="13"/>
        <v>#DIV/0!</v>
      </c>
    </row>
    <row r="77" spans="1:10" x14ac:dyDescent="0.25">
      <c r="A77" s="1"/>
      <c r="I77" t="e">
        <f t="shared" si="12"/>
        <v>#DIV/0!</v>
      </c>
      <c r="J77" t="e">
        <f t="shared" si="13"/>
        <v>#DIV/0!</v>
      </c>
    </row>
    <row r="78" spans="1:10" x14ac:dyDescent="0.25">
      <c r="I78" t="e">
        <f t="shared" si="12"/>
        <v>#DIV/0!</v>
      </c>
      <c r="J78" t="e">
        <f t="shared" si="13"/>
        <v>#DIV/0!</v>
      </c>
    </row>
    <row r="79" spans="1:10" x14ac:dyDescent="0.25">
      <c r="I79" t="e">
        <f t="shared" si="12"/>
        <v>#DIV/0!</v>
      </c>
      <c r="J79" t="e">
        <f t="shared" si="13"/>
        <v>#DIV/0!</v>
      </c>
    </row>
    <row r="80" spans="1:10" x14ac:dyDescent="0.25">
      <c r="I80" t="e">
        <f t="shared" si="12"/>
        <v>#DIV/0!</v>
      </c>
      <c r="J80" t="e">
        <f t="shared" si="13"/>
        <v>#DIV/0!</v>
      </c>
    </row>
    <row r="81" spans="9:10" x14ac:dyDescent="0.25">
      <c r="I81" t="e">
        <f t="shared" si="12"/>
        <v>#DIV/0!</v>
      </c>
      <c r="J81" t="e">
        <f t="shared" si="13"/>
        <v>#DIV/0!</v>
      </c>
    </row>
    <row r="82" spans="9:10" x14ac:dyDescent="0.25">
      <c r="I82" t="e">
        <f t="shared" si="12"/>
        <v>#DIV/0!</v>
      </c>
      <c r="J82" t="e">
        <f t="shared" si="13"/>
        <v>#DIV/0!</v>
      </c>
    </row>
    <row r="83" spans="9:10" x14ac:dyDescent="0.25">
      <c r="I83" t="e">
        <f t="shared" si="12"/>
        <v>#DIV/0!</v>
      </c>
      <c r="J83" t="e">
        <f t="shared" si="13"/>
        <v>#DIV/0!</v>
      </c>
    </row>
    <row r="84" spans="9:10" x14ac:dyDescent="0.25">
      <c r="I84" t="e">
        <f t="shared" si="12"/>
        <v>#DIV/0!</v>
      </c>
      <c r="J84" t="e">
        <f t="shared" si="13"/>
        <v>#DIV/0!</v>
      </c>
    </row>
    <row r="85" spans="9:10" x14ac:dyDescent="0.25">
      <c r="I85" t="e">
        <f t="shared" si="12"/>
        <v>#DIV/0!</v>
      </c>
      <c r="J85" t="e">
        <f t="shared" si="13"/>
        <v>#DIV/0!</v>
      </c>
    </row>
    <row r="86" spans="9:10" x14ac:dyDescent="0.25">
      <c r="I86" t="e">
        <f t="shared" si="12"/>
        <v>#DIV/0!</v>
      </c>
      <c r="J86" t="e">
        <f t="shared" si="13"/>
        <v>#DIV/0!</v>
      </c>
    </row>
    <row r="87" spans="9:10" x14ac:dyDescent="0.25">
      <c r="I87" t="e">
        <f t="shared" si="12"/>
        <v>#DIV/0!</v>
      </c>
      <c r="J87" t="e">
        <f t="shared" si="13"/>
        <v>#DIV/0!</v>
      </c>
    </row>
    <row r="88" spans="9:10" x14ac:dyDescent="0.25">
      <c r="I88" t="e">
        <f t="shared" si="12"/>
        <v>#DIV/0!</v>
      </c>
      <c r="J88" t="e">
        <f t="shared" si="13"/>
        <v>#DIV/0!</v>
      </c>
    </row>
    <row r="89" spans="9:10" x14ac:dyDescent="0.25">
      <c r="I89" t="e">
        <f t="shared" si="12"/>
        <v>#DIV/0!</v>
      </c>
      <c r="J89" t="e">
        <f t="shared" si="13"/>
        <v>#DIV/0!</v>
      </c>
    </row>
    <row r="90" spans="9:10" x14ac:dyDescent="0.25">
      <c r="I90" t="e">
        <f t="shared" si="12"/>
        <v>#DIV/0!</v>
      </c>
      <c r="J90" t="e">
        <f t="shared" si="13"/>
        <v>#DIV/0!</v>
      </c>
    </row>
    <row r="91" spans="9:10" x14ac:dyDescent="0.25">
      <c r="I91" t="e">
        <f t="shared" si="12"/>
        <v>#DIV/0!</v>
      </c>
      <c r="J91" t="e">
        <f t="shared" si="13"/>
        <v>#DIV/0!</v>
      </c>
    </row>
    <row r="92" spans="9:10" x14ac:dyDescent="0.25">
      <c r="I92" t="e">
        <f t="shared" si="12"/>
        <v>#DIV/0!</v>
      </c>
      <c r="J92" t="e">
        <f t="shared" si="13"/>
        <v>#DIV/0!</v>
      </c>
    </row>
    <row r="93" spans="9:10" x14ac:dyDescent="0.25">
      <c r="I93" t="e">
        <f t="shared" si="12"/>
        <v>#DIV/0!</v>
      </c>
      <c r="J93" t="e">
        <f t="shared" si="13"/>
        <v>#DIV/0!</v>
      </c>
    </row>
    <row r="94" spans="9:10" x14ac:dyDescent="0.25">
      <c r="I94" t="e">
        <f t="shared" si="12"/>
        <v>#DIV/0!</v>
      </c>
      <c r="J94" t="e">
        <f t="shared" si="13"/>
        <v>#DIV/0!</v>
      </c>
    </row>
    <row r="95" spans="9:10" x14ac:dyDescent="0.25">
      <c r="I95" t="e">
        <f t="shared" si="12"/>
        <v>#DIV/0!</v>
      </c>
      <c r="J95" t="e">
        <f t="shared" si="13"/>
        <v>#DIV/0!</v>
      </c>
    </row>
    <row r="96" spans="9:10" x14ac:dyDescent="0.25">
      <c r="I96" t="e">
        <f t="shared" si="12"/>
        <v>#DIV/0!</v>
      </c>
      <c r="J96" t="e">
        <f t="shared" si="13"/>
        <v>#DIV/0!</v>
      </c>
    </row>
    <row r="97" spans="9:10" x14ac:dyDescent="0.25">
      <c r="I97" t="e">
        <f t="shared" si="12"/>
        <v>#DIV/0!</v>
      </c>
      <c r="J97" t="e">
        <f t="shared" si="13"/>
        <v>#DIV/0!</v>
      </c>
    </row>
    <row r="98" spans="9:10" x14ac:dyDescent="0.25">
      <c r="I98" t="e">
        <f t="shared" si="12"/>
        <v>#DIV/0!</v>
      </c>
      <c r="J98" t="e">
        <f t="shared" si="13"/>
        <v>#DIV/0!</v>
      </c>
    </row>
    <row r="99" spans="9:10" x14ac:dyDescent="0.25">
      <c r="I99" t="e">
        <f t="shared" si="12"/>
        <v>#DIV/0!</v>
      </c>
      <c r="J99" t="e">
        <f t="shared" si="13"/>
        <v>#DIV/0!</v>
      </c>
    </row>
    <row r="100" spans="9:10" x14ac:dyDescent="0.25">
      <c r="I100" t="e">
        <f t="shared" si="12"/>
        <v>#DIV/0!</v>
      </c>
      <c r="J100" t="e">
        <f t="shared" si="13"/>
        <v>#DIV/0!</v>
      </c>
    </row>
    <row r="101" spans="9:10" x14ac:dyDescent="0.25">
      <c r="I101" t="e">
        <f t="shared" si="12"/>
        <v>#DIV/0!</v>
      </c>
      <c r="J101" t="e">
        <f t="shared" si="13"/>
        <v>#DIV/0!</v>
      </c>
    </row>
    <row r="102" spans="9:10" x14ac:dyDescent="0.25">
      <c r="I102" t="e">
        <f t="shared" si="12"/>
        <v>#DIV/0!</v>
      </c>
      <c r="J102" t="e">
        <f t="shared" si="13"/>
        <v>#DIV/0!</v>
      </c>
    </row>
    <row r="103" spans="9:10" x14ac:dyDescent="0.25">
      <c r="I103" t="e">
        <f t="shared" si="12"/>
        <v>#DIV/0!</v>
      </c>
      <c r="J103" t="e">
        <f t="shared" si="13"/>
        <v>#DIV/0!</v>
      </c>
    </row>
    <row r="104" spans="9:10" x14ac:dyDescent="0.25">
      <c r="I104" t="e">
        <f t="shared" si="12"/>
        <v>#DIV/0!</v>
      </c>
      <c r="J104" t="e">
        <f t="shared" si="13"/>
        <v>#DIV/0!</v>
      </c>
    </row>
    <row r="105" spans="9:10" x14ac:dyDescent="0.25">
      <c r="I105" t="e">
        <f t="shared" si="12"/>
        <v>#DIV/0!</v>
      </c>
      <c r="J105" t="e">
        <f t="shared" si="13"/>
        <v>#DIV/0!</v>
      </c>
    </row>
    <row r="106" spans="9:10" x14ac:dyDescent="0.25">
      <c r="I106" t="e">
        <f t="shared" si="12"/>
        <v>#DIV/0!</v>
      </c>
      <c r="J106" t="e">
        <f t="shared" si="13"/>
        <v>#DIV/0!</v>
      </c>
    </row>
    <row r="107" spans="9:10" x14ac:dyDescent="0.25">
      <c r="I107" t="e">
        <f t="shared" si="12"/>
        <v>#DIV/0!</v>
      </c>
      <c r="J107" t="e">
        <f t="shared" si="13"/>
        <v>#DIV/0!</v>
      </c>
    </row>
    <row r="108" spans="9:10" x14ac:dyDescent="0.25">
      <c r="I108" t="e">
        <f t="shared" si="12"/>
        <v>#DIV/0!</v>
      </c>
      <c r="J108" t="e">
        <f t="shared" si="13"/>
        <v>#DIV/0!</v>
      </c>
    </row>
    <row r="109" spans="9:10" x14ac:dyDescent="0.25">
      <c r="I109" t="e">
        <f t="shared" si="12"/>
        <v>#DIV/0!</v>
      </c>
      <c r="J109" t="e">
        <f t="shared" si="13"/>
        <v>#DIV/0!</v>
      </c>
    </row>
    <row r="110" spans="9:10" x14ac:dyDescent="0.25">
      <c r="I110" t="e">
        <f t="shared" si="12"/>
        <v>#DIV/0!</v>
      </c>
      <c r="J110" t="e">
        <f t="shared" si="13"/>
        <v>#DIV/0!</v>
      </c>
    </row>
    <row r="111" spans="9:10" x14ac:dyDescent="0.25">
      <c r="I111" t="e">
        <f t="shared" si="12"/>
        <v>#DIV/0!</v>
      </c>
      <c r="J111" t="e">
        <f t="shared" si="13"/>
        <v>#DIV/0!</v>
      </c>
    </row>
    <row r="112" spans="9:10" x14ac:dyDescent="0.25">
      <c r="I112" t="e">
        <f t="shared" si="12"/>
        <v>#DIV/0!</v>
      </c>
      <c r="J112" t="e">
        <f t="shared" si="13"/>
        <v>#DIV/0!</v>
      </c>
    </row>
    <row r="113" spans="9:10" x14ac:dyDescent="0.25">
      <c r="I113" t="e">
        <f t="shared" si="12"/>
        <v>#DIV/0!</v>
      </c>
      <c r="J113" t="e">
        <f t="shared" si="13"/>
        <v>#DIV/0!</v>
      </c>
    </row>
    <row r="114" spans="9:10" x14ac:dyDescent="0.25">
      <c r="I114" t="e">
        <f t="shared" si="12"/>
        <v>#DIV/0!</v>
      </c>
      <c r="J114" t="e">
        <f t="shared" si="13"/>
        <v>#DIV/0!</v>
      </c>
    </row>
    <row r="115" spans="9:10" x14ac:dyDescent="0.25">
      <c r="I115" t="e">
        <f t="shared" si="12"/>
        <v>#DIV/0!</v>
      </c>
      <c r="J115" t="e">
        <f t="shared" si="13"/>
        <v>#DIV/0!</v>
      </c>
    </row>
    <row r="116" spans="9:10" x14ac:dyDescent="0.25">
      <c r="I116" t="e">
        <f t="shared" si="12"/>
        <v>#DIV/0!</v>
      </c>
      <c r="J116" t="e">
        <f t="shared" si="13"/>
        <v>#DIV/0!</v>
      </c>
    </row>
    <row r="117" spans="9:10" x14ac:dyDescent="0.25">
      <c r="I117" t="e">
        <f t="shared" si="12"/>
        <v>#DIV/0!</v>
      </c>
      <c r="J117" t="e">
        <f t="shared" si="13"/>
        <v>#DIV/0!</v>
      </c>
    </row>
    <row r="118" spans="9:10" x14ac:dyDescent="0.25">
      <c r="I118" t="e">
        <f t="shared" si="12"/>
        <v>#DIV/0!</v>
      </c>
      <c r="J118" t="e">
        <f t="shared" si="13"/>
        <v>#DIV/0!</v>
      </c>
    </row>
    <row r="119" spans="9:10" x14ac:dyDescent="0.25">
      <c r="I119" t="e">
        <f t="shared" si="12"/>
        <v>#DIV/0!</v>
      </c>
      <c r="J119" t="e">
        <f t="shared" si="13"/>
        <v>#DIV/0!</v>
      </c>
    </row>
    <row r="120" spans="9:10" x14ac:dyDescent="0.25">
      <c r="I120" t="e">
        <f t="shared" si="12"/>
        <v>#DIV/0!</v>
      </c>
      <c r="J120" t="e">
        <f t="shared" si="13"/>
        <v>#DIV/0!</v>
      </c>
    </row>
    <row r="121" spans="9:10" x14ac:dyDescent="0.25">
      <c r="I121" t="e">
        <f t="shared" si="12"/>
        <v>#DIV/0!</v>
      </c>
      <c r="J121" t="e">
        <f t="shared" si="13"/>
        <v>#DIV/0!</v>
      </c>
    </row>
    <row r="122" spans="9:10" x14ac:dyDescent="0.25">
      <c r="I122" t="e">
        <f t="shared" si="12"/>
        <v>#DIV/0!</v>
      </c>
      <c r="J122" t="e">
        <f t="shared" si="13"/>
        <v>#DIV/0!</v>
      </c>
    </row>
    <row r="123" spans="9:10" x14ac:dyDescent="0.25">
      <c r="I123" t="e">
        <f t="shared" si="12"/>
        <v>#DIV/0!</v>
      </c>
      <c r="J123" t="e">
        <f t="shared" si="13"/>
        <v>#DIV/0!</v>
      </c>
    </row>
    <row r="124" spans="9:10" x14ac:dyDescent="0.25">
      <c r="I124" t="e">
        <f t="shared" si="12"/>
        <v>#DIV/0!</v>
      </c>
      <c r="J124" t="e">
        <f t="shared" si="13"/>
        <v>#DIV/0!</v>
      </c>
    </row>
    <row r="125" spans="9:10" x14ac:dyDescent="0.25">
      <c r="I125" t="e">
        <f t="shared" si="12"/>
        <v>#DIV/0!</v>
      </c>
      <c r="J125" t="e">
        <f t="shared" si="13"/>
        <v>#DIV/0!</v>
      </c>
    </row>
    <row r="126" spans="9:10" x14ac:dyDescent="0.25">
      <c r="I126" t="e">
        <f t="shared" si="12"/>
        <v>#DIV/0!</v>
      </c>
      <c r="J126" t="e">
        <f t="shared" si="13"/>
        <v>#DIV/0!</v>
      </c>
    </row>
    <row r="127" spans="9:10" x14ac:dyDescent="0.25">
      <c r="I127" t="e">
        <f t="shared" si="12"/>
        <v>#DIV/0!</v>
      </c>
      <c r="J127" t="e">
        <f t="shared" si="13"/>
        <v>#DIV/0!</v>
      </c>
    </row>
    <row r="128" spans="9:10" x14ac:dyDescent="0.25">
      <c r="I128" t="e">
        <f t="shared" si="12"/>
        <v>#DIV/0!</v>
      </c>
      <c r="J128" t="e">
        <f t="shared" si="13"/>
        <v>#DIV/0!</v>
      </c>
    </row>
    <row r="129" spans="9:10" x14ac:dyDescent="0.25">
      <c r="I129" t="e">
        <f t="shared" si="12"/>
        <v>#DIV/0!</v>
      </c>
      <c r="J129" t="e">
        <f t="shared" si="13"/>
        <v>#DIV/0!</v>
      </c>
    </row>
    <row r="130" spans="9:10" x14ac:dyDescent="0.25">
      <c r="I130" t="e">
        <f t="shared" si="12"/>
        <v>#DIV/0!</v>
      </c>
      <c r="J130" t="e">
        <f t="shared" si="13"/>
        <v>#DIV/0!</v>
      </c>
    </row>
    <row r="131" spans="9:10" x14ac:dyDescent="0.25">
      <c r="I131" t="e">
        <f t="shared" ref="I131:I194" si="14">$E131 + 2 * _xlfn.STDEV.S($E131:$E330)</f>
        <v>#DIV/0!</v>
      </c>
      <c r="J131" t="e">
        <f t="shared" ref="J131:J194" si="15">$E131 - 2 * _xlfn.STDEV.S($E131:$E330)</f>
        <v>#DIV/0!</v>
      </c>
    </row>
    <row r="132" spans="9:10" x14ac:dyDescent="0.25">
      <c r="I132" t="e">
        <f t="shared" si="14"/>
        <v>#DIV/0!</v>
      </c>
      <c r="J132" t="e">
        <f t="shared" si="15"/>
        <v>#DIV/0!</v>
      </c>
    </row>
    <row r="133" spans="9:10" x14ac:dyDescent="0.25">
      <c r="I133" t="e">
        <f t="shared" si="14"/>
        <v>#DIV/0!</v>
      </c>
      <c r="J133" t="e">
        <f t="shared" si="15"/>
        <v>#DIV/0!</v>
      </c>
    </row>
    <row r="134" spans="9:10" x14ac:dyDescent="0.25">
      <c r="I134" t="e">
        <f t="shared" si="14"/>
        <v>#DIV/0!</v>
      </c>
      <c r="J134" t="e">
        <f t="shared" si="15"/>
        <v>#DIV/0!</v>
      </c>
    </row>
    <row r="135" spans="9:10" x14ac:dyDescent="0.25">
      <c r="I135" t="e">
        <f t="shared" si="14"/>
        <v>#DIV/0!</v>
      </c>
      <c r="J135" t="e">
        <f t="shared" si="15"/>
        <v>#DIV/0!</v>
      </c>
    </row>
    <row r="136" spans="9:10" x14ac:dyDescent="0.25">
      <c r="I136" t="e">
        <f t="shared" si="14"/>
        <v>#DIV/0!</v>
      </c>
      <c r="J136" t="e">
        <f t="shared" si="15"/>
        <v>#DIV/0!</v>
      </c>
    </row>
    <row r="137" spans="9:10" x14ac:dyDescent="0.25">
      <c r="I137" t="e">
        <f t="shared" si="14"/>
        <v>#DIV/0!</v>
      </c>
      <c r="J137" t="e">
        <f t="shared" si="15"/>
        <v>#DIV/0!</v>
      </c>
    </row>
    <row r="138" spans="9:10" x14ac:dyDescent="0.25">
      <c r="I138" t="e">
        <f t="shared" si="14"/>
        <v>#DIV/0!</v>
      </c>
      <c r="J138" t="e">
        <f t="shared" si="15"/>
        <v>#DIV/0!</v>
      </c>
    </row>
    <row r="139" spans="9:10" x14ac:dyDescent="0.25">
      <c r="I139" t="e">
        <f t="shared" si="14"/>
        <v>#DIV/0!</v>
      </c>
      <c r="J139" t="e">
        <f t="shared" si="15"/>
        <v>#DIV/0!</v>
      </c>
    </row>
    <row r="140" spans="9:10" x14ac:dyDescent="0.25">
      <c r="I140" t="e">
        <f t="shared" si="14"/>
        <v>#DIV/0!</v>
      </c>
      <c r="J140" t="e">
        <f t="shared" si="15"/>
        <v>#DIV/0!</v>
      </c>
    </row>
    <row r="141" spans="9:10" x14ac:dyDescent="0.25">
      <c r="I141" t="e">
        <f t="shared" si="14"/>
        <v>#DIV/0!</v>
      </c>
      <c r="J141" t="e">
        <f t="shared" si="15"/>
        <v>#DIV/0!</v>
      </c>
    </row>
    <row r="142" spans="9:10" x14ac:dyDescent="0.25">
      <c r="I142" t="e">
        <f t="shared" si="14"/>
        <v>#DIV/0!</v>
      </c>
      <c r="J142" t="e">
        <f t="shared" si="15"/>
        <v>#DIV/0!</v>
      </c>
    </row>
    <row r="143" spans="9:10" x14ac:dyDescent="0.25">
      <c r="I143" t="e">
        <f t="shared" si="14"/>
        <v>#DIV/0!</v>
      </c>
      <c r="J143" t="e">
        <f t="shared" si="15"/>
        <v>#DIV/0!</v>
      </c>
    </row>
    <row r="144" spans="9:10" x14ac:dyDescent="0.25">
      <c r="I144" t="e">
        <f t="shared" si="14"/>
        <v>#DIV/0!</v>
      </c>
      <c r="J144" t="e">
        <f t="shared" si="15"/>
        <v>#DIV/0!</v>
      </c>
    </row>
    <row r="145" spans="9:10" x14ac:dyDescent="0.25">
      <c r="I145" t="e">
        <f t="shared" si="14"/>
        <v>#DIV/0!</v>
      </c>
      <c r="J145" t="e">
        <f t="shared" si="15"/>
        <v>#DIV/0!</v>
      </c>
    </row>
    <row r="146" spans="9:10" x14ac:dyDescent="0.25">
      <c r="I146" t="e">
        <f t="shared" si="14"/>
        <v>#DIV/0!</v>
      </c>
      <c r="J146" t="e">
        <f t="shared" si="15"/>
        <v>#DIV/0!</v>
      </c>
    </row>
    <row r="147" spans="9:10" x14ac:dyDescent="0.25">
      <c r="I147" t="e">
        <f t="shared" si="14"/>
        <v>#DIV/0!</v>
      </c>
      <c r="J147" t="e">
        <f t="shared" si="15"/>
        <v>#DIV/0!</v>
      </c>
    </row>
    <row r="148" spans="9:10" x14ac:dyDescent="0.25">
      <c r="I148" t="e">
        <f t="shared" si="14"/>
        <v>#DIV/0!</v>
      </c>
      <c r="J148" t="e">
        <f t="shared" si="15"/>
        <v>#DIV/0!</v>
      </c>
    </row>
    <row r="149" spans="9:10" x14ac:dyDescent="0.25">
      <c r="I149" t="e">
        <f t="shared" si="14"/>
        <v>#DIV/0!</v>
      </c>
      <c r="J149" t="e">
        <f t="shared" si="15"/>
        <v>#DIV/0!</v>
      </c>
    </row>
    <row r="150" spans="9:10" x14ac:dyDescent="0.25">
      <c r="I150" t="e">
        <f t="shared" si="14"/>
        <v>#DIV/0!</v>
      </c>
      <c r="J150" t="e">
        <f t="shared" si="15"/>
        <v>#DIV/0!</v>
      </c>
    </row>
    <row r="151" spans="9:10" x14ac:dyDescent="0.25">
      <c r="I151" t="e">
        <f t="shared" si="14"/>
        <v>#DIV/0!</v>
      </c>
      <c r="J151" t="e">
        <f t="shared" si="15"/>
        <v>#DIV/0!</v>
      </c>
    </row>
    <row r="152" spans="9:10" x14ac:dyDescent="0.25">
      <c r="I152" t="e">
        <f t="shared" si="14"/>
        <v>#DIV/0!</v>
      </c>
      <c r="J152" t="e">
        <f t="shared" si="15"/>
        <v>#DIV/0!</v>
      </c>
    </row>
    <row r="153" spans="9:10" x14ac:dyDescent="0.25">
      <c r="I153" t="e">
        <f t="shared" si="14"/>
        <v>#DIV/0!</v>
      </c>
      <c r="J153" t="e">
        <f t="shared" si="15"/>
        <v>#DIV/0!</v>
      </c>
    </row>
    <row r="154" spans="9:10" x14ac:dyDescent="0.25">
      <c r="I154" t="e">
        <f t="shared" si="14"/>
        <v>#DIV/0!</v>
      </c>
      <c r="J154" t="e">
        <f t="shared" si="15"/>
        <v>#DIV/0!</v>
      </c>
    </row>
    <row r="155" spans="9:10" x14ac:dyDescent="0.25">
      <c r="I155" t="e">
        <f t="shared" si="14"/>
        <v>#DIV/0!</v>
      </c>
      <c r="J155" t="e">
        <f t="shared" si="15"/>
        <v>#DIV/0!</v>
      </c>
    </row>
    <row r="156" spans="9:10" x14ac:dyDescent="0.25">
      <c r="I156" t="e">
        <f t="shared" si="14"/>
        <v>#DIV/0!</v>
      </c>
      <c r="J156" t="e">
        <f t="shared" si="15"/>
        <v>#DIV/0!</v>
      </c>
    </row>
    <row r="157" spans="9:10" x14ac:dyDescent="0.25">
      <c r="I157" t="e">
        <f t="shared" si="14"/>
        <v>#DIV/0!</v>
      </c>
      <c r="J157" t="e">
        <f t="shared" si="15"/>
        <v>#DIV/0!</v>
      </c>
    </row>
    <row r="158" spans="9:10" x14ac:dyDescent="0.25">
      <c r="I158" t="e">
        <f t="shared" si="14"/>
        <v>#DIV/0!</v>
      </c>
      <c r="J158" t="e">
        <f t="shared" si="15"/>
        <v>#DIV/0!</v>
      </c>
    </row>
    <row r="159" spans="9:10" x14ac:dyDescent="0.25">
      <c r="I159" t="e">
        <f t="shared" si="14"/>
        <v>#DIV/0!</v>
      </c>
      <c r="J159" t="e">
        <f t="shared" si="15"/>
        <v>#DIV/0!</v>
      </c>
    </row>
    <row r="160" spans="9:10" x14ac:dyDescent="0.25">
      <c r="I160" t="e">
        <f t="shared" si="14"/>
        <v>#DIV/0!</v>
      </c>
      <c r="J160" t="e">
        <f t="shared" si="15"/>
        <v>#DIV/0!</v>
      </c>
    </row>
    <row r="161" spans="9:10" x14ac:dyDescent="0.25">
      <c r="I161" t="e">
        <f t="shared" si="14"/>
        <v>#DIV/0!</v>
      </c>
      <c r="J161" t="e">
        <f t="shared" si="15"/>
        <v>#DIV/0!</v>
      </c>
    </row>
    <row r="162" spans="9:10" x14ac:dyDescent="0.25">
      <c r="I162" t="e">
        <f t="shared" si="14"/>
        <v>#DIV/0!</v>
      </c>
      <c r="J162" t="e">
        <f t="shared" si="15"/>
        <v>#DIV/0!</v>
      </c>
    </row>
    <row r="163" spans="9:10" x14ac:dyDescent="0.25">
      <c r="I163" t="e">
        <f t="shared" si="14"/>
        <v>#DIV/0!</v>
      </c>
      <c r="J163" t="e">
        <f t="shared" si="15"/>
        <v>#DIV/0!</v>
      </c>
    </row>
    <row r="164" spans="9:10" x14ac:dyDescent="0.25">
      <c r="I164" t="e">
        <f t="shared" si="14"/>
        <v>#DIV/0!</v>
      </c>
      <c r="J164" t="e">
        <f t="shared" si="15"/>
        <v>#DIV/0!</v>
      </c>
    </row>
    <row r="165" spans="9:10" x14ac:dyDescent="0.25">
      <c r="I165" t="e">
        <f t="shared" si="14"/>
        <v>#DIV/0!</v>
      </c>
      <c r="J165" t="e">
        <f t="shared" si="15"/>
        <v>#DIV/0!</v>
      </c>
    </row>
    <row r="166" spans="9:10" x14ac:dyDescent="0.25">
      <c r="I166" t="e">
        <f t="shared" si="14"/>
        <v>#DIV/0!</v>
      </c>
      <c r="J166" t="e">
        <f t="shared" si="15"/>
        <v>#DIV/0!</v>
      </c>
    </row>
    <row r="167" spans="9:10" x14ac:dyDescent="0.25">
      <c r="I167" t="e">
        <f t="shared" si="14"/>
        <v>#DIV/0!</v>
      </c>
      <c r="J167" t="e">
        <f t="shared" si="15"/>
        <v>#DIV/0!</v>
      </c>
    </row>
    <row r="168" spans="9:10" x14ac:dyDescent="0.25">
      <c r="I168" t="e">
        <f t="shared" si="14"/>
        <v>#DIV/0!</v>
      </c>
      <c r="J168" t="e">
        <f t="shared" si="15"/>
        <v>#DIV/0!</v>
      </c>
    </row>
    <row r="169" spans="9:10" x14ac:dyDescent="0.25">
      <c r="I169" t="e">
        <f t="shared" si="14"/>
        <v>#DIV/0!</v>
      </c>
      <c r="J169" t="e">
        <f t="shared" si="15"/>
        <v>#DIV/0!</v>
      </c>
    </row>
    <row r="170" spans="9:10" x14ac:dyDescent="0.25">
      <c r="I170" t="e">
        <f t="shared" si="14"/>
        <v>#DIV/0!</v>
      </c>
      <c r="J170" t="e">
        <f t="shared" si="15"/>
        <v>#DIV/0!</v>
      </c>
    </row>
    <row r="171" spans="9:10" x14ac:dyDescent="0.25">
      <c r="I171" t="e">
        <f t="shared" si="14"/>
        <v>#DIV/0!</v>
      </c>
      <c r="J171" t="e">
        <f t="shared" si="15"/>
        <v>#DIV/0!</v>
      </c>
    </row>
    <row r="172" spans="9:10" x14ac:dyDescent="0.25">
      <c r="I172" t="e">
        <f t="shared" si="14"/>
        <v>#DIV/0!</v>
      </c>
      <c r="J172" t="e">
        <f t="shared" si="15"/>
        <v>#DIV/0!</v>
      </c>
    </row>
    <row r="173" spans="9:10" x14ac:dyDescent="0.25">
      <c r="I173" t="e">
        <f t="shared" si="14"/>
        <v>#DIV/0!</v>
      </c>
      <c r="J173" t="e">
        <f t="shared" si="15"/>
        <v>#DIV/0!</v>
      </c>
    </row>
    <row r="174" spans="9:10" x14ac:dyDescent="0.25">
      <c r="I174" t="e">
        <f t="shared" si="14"/>
        <v>#DIV/0!</v>
      </c>
      <c r="J174" t="e">
        <f t="shared" si="15"/>
        <v>#DIV/0!</v>
      </c>
    </row>
    <row r="175" spans="9:10" x14ac:dyDescent="0.25">
      <c r="I175" t="e">
        <f t="shared" si="14"/>
        <v>#DIV/0!</v>
      </c>
      <c r="J175" t="e">
        <f t="shared" si="15"/>
        <v>#DIV/0!</v>
      </c>
    </row>
    <row r="176" spans="9:10" x14ac:dyDescent="0.25">
      <c r="I176" t="e">
        <f t="shared" si="14"/>
        <v>#DIV/0!</v>
      </c>
      <c r="J176" t="e">
        <f t="shared" si="15"/>
        <v>#DIV/0!</v>
      </c>
    </row>
    <row r="177" spans="9:10" x14ac:dyDescent="0.25">
      <c r="I177" t="e">
        <f t="shared" si="14"/>
        <v>#DIV/0!</v>
      </c>
      <c r="J177" t="e">
        <f t="shared" si="15"/>
        <v>#DIV/0!</v>
      </c>
    </row>
    <row r="178" spans="9:10" x14ac:dyDescent="0.25">
      <c r="I178" t="e">
        <f t="shared" si="14"/>
        <v>#DIV/0!</v>
      </c>
      <c r="J178" t="e">
        <f t="shared" si="15"/>
        <v>#DIV/0!</v>
      </c>
    </row>
    <row r="179" spans="9:10" x14ac:dyDescent="0.25">
      <c r="I179" t="e">
        <f t="shared" si="14"/>
        <v>#DIV/0!</v>
      </c>
      <c r="J179" t="e">
        <f t="shared" si="15"/>
        <v>#DIV/0!</v>
      </c>
    </row>
    <row r="180" spans="9:10" x14ac:dyDescent="0.25">
      <c r="I180" t="e">
        <f t="shared" si="14"/>
        <v>#DIV/0!</v>
      </c>
      <c r="J180" t="e">
        <f t="shared" si="15"/>
        <v>#DIV/0!</v>
      </c>
    </row>
    <row r="181" spans="9:10" x14ac:dyDescent="0.25">
      <c r="I181" t="e">
        <f t="shared" si="14"/>
        <v>#DIV/0!</v>
      </c>
      <c r="J181" t="e">
        <f t="shared" si="15"/>
        <v>#DIV/0!</v>
      </c>
    </row>
    <row r="182" spans="9:10" x14ac:dyDescent="0.25">
      <c r="I182" t="e">
        <f t="shared" si="14"/>
        <v>#DIV/0!</v>
      </c>
      <c r="J182" t="e">
        <f t="shared" si="15"/>
        <v>#DIV/0!</v>
      </c>
    </row>
    <row r="183" spans="9:10" x14ac:dyDescent="0.25">
      <c r="I183" t="e">
        <f t="shared" si="14"/>
        <v>#DIV/0!</v>
      </c>
      <c r="J183" t="e">
        <f t="shared" si="15"/>
        <v>#DIV/0!</v>
      </c>
    </row>
    <row r="184" spans="9:10" x14ac:dyDescent="0.25">
      <c r="I184" t="e">
        <f t="shared" si="14"/>
        <v>#DIV/0!</v>
      </c>
      <c r="J184" t="e">
        <f t="shared" si="15"/>
        <v>#DIV/0!</v>
      </c>
    </row>
    <row r="185" spans="9:10" x14ac:dyDescent="0.25">
      <c r="I185" t="e">
        <f t="shared" si="14"/>
        <v>#DIV/0!</v>
      </c>
      <c r="J185" t="e">
        <f t="shared" si="15"/>
        <v>#DIV/0!</v>
      </c>
    </row>
    <row r="186" spans="9:10" x14ac:dyDescent="0.25">
      <c r="I186" t="e">
        <f t="shared" si="14"/>
        <v>#DIV/0!</v>
      </c>
      <c r="J186" t="e">
        <f t="shared" si="15"/>
        <v>#DIV/0!</v>
      </c>
    </row>
    <row r="187" spans="9:10" x14ac:dyDescent="0.25">
      <c r="I187" t="e">
        <f t="shared" si="14"/>
        <v>#DIV/0!</v>
      </c>
      <c r="J187" t="e">
        <f t="shared" si="15"/>
        <v>#DIV/0!</v>
      </c>
    </row>
    <row r="188" spans="9:10" x14ac:dyDescent="0.25">
      <c r="I188" t="e">
        <f t="shared" si="14"/>
        <v>#DIV/0!</v>
      </c>
      <c r="J188" t="e">
        <f t="shared" si="15"/>
        <v>#DIV/0!</v>
      </c>
    </row>
    <row r="189" spans="9:10" x14ac:dyDescent="0.25">
      <c r="I189" t="e">
        <f t="shared" si="14"/>
        <v>#DIV/0!</v>
      </c>
      <c r="J189" t="e">
        <f t="shared" si="15"/>
        <v>#DIV/0!</v>
      </c>
    </row>
    <row r="190" spans="9:10" x14ac:dyDescent="0.25">
      <c r="I190" t="e">
        <f t="shared" si="14"/>
        <v>#DIV/0!</v>
      </c>
      <c r="J190" t="e">
        <f t="shared" si="15"/>
        <v>#DIV/0!</v>
      </c>
    </row>
    <row r="191" spans="9:10" x14ac:dyDescent="0.25">
      <c r="I191" t="e">
        <f t="shared" si="14"/>
        <v>#DIV/0!</v>
      </c>
      <c r="J191" t="e">
        <f t="shared" si="15"/>
        <v>#DIV/0!</v>
      </c>
    </row>
    <row r="192" spans="9:10" x14ac:dyDescent="0.25">
      <c r="I192" t="e">
        <f t="shared" si="14"/>
        <v>#DIV/0!</v>
      </c>
      <c r="J192" t="e">
        <f t="shared" si="15"/>
        <v>#DIV/0!</v>
      </c>
    </row>
    <row r="193" spans="9:10" x14ac:dyDescent="0.25">
      <c r="I193" t="e">
        <f t="shared" si="14"/>
        <v>#DIV/0!</v>
      </c>
      <c r="J193" t="e">
        <f t="shared" si="15"/>
        <v>#DIV/0!</v>
      </c>
    </row>
    <row r="194" spans="9:10" x14ac:dyDescent="0.25">
      <c r="I194" t="e">
        <f t="shared" si="14"/>
        <v>#DIV/0!</v>
      </c>
      <c r="J194" t="e">
        <f t="shared" si="15"/>
        <v>#DIV/0!</v>
      </c>
    </row>
    <row r="195" spans="9:10" x14ac:dyDescent="0.25">
      <c r="I195" t="e">
        <f t="shared" ref="I195:I201" si="16">$E195 + 2 * _xlfn.STDEV.S($E195:$E394)</f>
        <v>#DIV/0!</v>
      </c>
      <c r="J195" t="e">
        <f t="shared" ref="J195:J201" si="17">$E195 - 2 * _xlfn.STDEV.S($E195:$E394)</f>
        <v>#DIV/0!</v>
      </c>
    </row>
    <row r="196" spans="9:10" x14ac:dyDescent="0.25">
      <c r="I196" t="e">
        <f t="shared" si="16"/>
        <v>#DIV/0!</v>
      </c>
      <c r="J196" t="e">
        <f t="shared" si="17"/>
        <v>#DIV/0!</v>
      </c>
    </row>
    <row r="197" spans="9:10" x14ac:dyDescent="0.25">
      <c r="I197" t="e">
        <f t="shared" si="16"/>
        <v>#DIV/0!</v>
      </c>
      <c r="J197" t="e">
        <f t="shared" si="17"/>
        <v>#DIV/0!</v>
      </c>
    </row>
    <row r="198" spans="9:10" x14ac:dyDescent="0.25">
      <c r="I198" t="e">
        <f t="shared" si="16"/>
        <v>#DIV/0!</v>
      </c>
      <c r="J198" t="e">
        <f t="shared" si="17"/>
        <v>#DIV/0!</v>
      </c>
    </row>
    <row r="199" spans="9:10" x14ac:dyDescent="0.25">
      <c r="I199" t="e">
        <f t="shared" si="16"/>
        <v>#DIV/0!</v>
      </c>
      <c r="J199" t="e">
        <f t="shared" si="17"/>
        <v>#DIV/0!</v>
      </c>
    </row>
    <row r="200" spans="9:10" x14ac:dyDescent="0.25">
      <c r="I200" t="e">
        <f t="shared" si="16"/>
        <v>#DIV/0!</v>
      </c>
      <c r="J200" t="e">
        <f t="shared" si="17"/>
        <v>#DIV/0!</v>
      </c>
    </row>
    <row r="201" spans="9:10" x14ac:dyDescent="0.25">
      <c r="I201" t="e">
        <f t="shared" si="16"/>
        <v>#DIV/0!</v>
      </c>
      <c r="J201" t="e">
        <f t="shared" si="17"/>
        <v>#DIV/0!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D_Analysis">
                <anchor moveWithCells="1" sizeWithCells="1">
                  <from>
                    <xdr:col>0</xdr:col>
                    <xdr:colOff>266700</xdr:colOff>
                    <xdr:row>12</xdr:row>
                    <xdr:rowOff>19050</xdr:rowOff>
                  </from>
                  <to>
                    <xdr:col>0</xdr:col>
                    <xdr:colOff>1733550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MACD</vt:lpstr>
      <vt:lpstr>AVG_MACD_Start</vt:lpstr>
      <vt:lpstr>DataLoad</vt:lpstr>
      <vt:lpstr>DATE</vt:lpstr>
      <vt:lpstr>LMA_Start</vt:lpstr>
      <vt:lpstr>LoadData</vt:lpstr>
      <vt:lpstr>LongTerm</vt:lpstr>
      <vt:lpstr>LongWindow</vt:lpstr>
      <vt:lpstr>MACD_Start</vt:lpstr>
      <vt:lpstr>ShortTerm</vt:lpstr>
      <vt:lpstr>SMA_Start</vt:lpstr>
      <vt:lpstr>Ticker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2017-06-23T16:22:54Z</dcterms:created>
  <dcterms:modified xsi:type="dcterms:W3CDTF">2017-06-26T22:58:04Z</dcterms:modified>
</cp:coreProperties>
</file>